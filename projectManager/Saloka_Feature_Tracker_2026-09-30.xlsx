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Pelacak Fitur" sheetId="2" state="visible" r:id="rId2"/>
    <sheet xmlns:r="http://schemas.openxmlformats.org/officeDocument/2006/relationships" name="Panduan" sheetId="3" state="visible" r:id="rId3"/>
  </sheets>
  <definedNames>
    <definedName name="_xlnm._FilterDatabase" localSheetId="1" hidden="1">'Pelacak Fitur'!$A$2:$AI$142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1155CC"/>
      <u val="single"/>
    </font>
    <font>
      <color rgb="00444444"/>
    </font>
    <font>
      <b val="1"/>
      <color rgb="000F5132"/>
      <sz val="16"/>
    </font>
    <font>
      <i val="1"/>
      <color rgb="00666666"/>
    </font>
    <font>
      <b val="1"/>
      <color rgb="000F5132"/>
      <sz val="12"/>
    </font>
    <font>
      <i val="1"/>
      <color rgb="007A5A00"/>
    </font>
  </fonts>
  <fills count="8">
    <fill>
      <patternFill/>
    </fill>
    <fill>
      <patternFill patternType="gray125"/>
    </fill>
    <fill>
      <patternFill patternType="solid">
        <fgColor rgb="000F5132"/>
      </patternFill>
    </fill>
    <fill>
      <patternFill patternType="solid">
        <fgColor rgb="00E8F8EE"/>
      </patternFill>
    </fill>
    <fill>
      <patternFill patternType="solid">
        <fgColor rgb="007A4B00"/>
      </patternFill>
    </fill>
    <fill>
      <patternFill patternType="solid">
        <fgColor rgb="00FFF3DC"/>
      </patternFill>
    </fill>
    <fill>
      <patternFill patternType="solid">
        <fgColor rgb="009C6500"/>
      </patternFill>
    </fill>
    <fill>
      <patternFill patternType="solid">
        <fgColor rgb="00D6F0D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2" fillId="7" borderId="1" pivotButton="0" quotePrefix="0" xfId="0"/>
    <xf numFmtId="9" fontId="2" fillId="7" borderId="1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2" fillId="3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 indent="2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 indent="4"/>
    </xf>
    <xf numFmtId="0" fontId="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1B5E20"/>
      </font>
      <fill>
        <patternFill patternType="solid">
          <fgColor rgb="00C8E6C9"/>
        </patternFill>
      </fill>
    </dxf>
    <dxf>
      <font>
        <b val="1"/>
        <color rgb="007A5A00"/>
      </font>
      <fill>
        <patternFill patternType="solid">
          <fgColor rgb="00FFF3C4"/>
        </patternFill>
      </fill>
    </dxf>
    <dxf>
      <font>
        <b val="1"/>
        <color rgb="001A3E8C"/>
      </font>
      <fill>
        <patternFill patternType="solid">
          <fgColor rgb="00D6E4FF"/>
        </patternFill>
      </fill>
    </dxf>
    <dxf>
      <font>
        <b val="1"/>
        <color rgb="00424242"/>
      </font>
      <fill>
        <patternFill patternType="solid">
          <fgColor rgb="00E0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loka.id/" TargetMode="External" Id="rId1"/><Relationship Type="http://schemas.openxmlformats.org/officeDocument/2006/relationships/hyperlink" Target="https://saloka.id/auth?tab=login" TargetMode="External" Id="rId2"/><Relationship Type="http://schemas.openxmlformats.org/officeDocument/2006/relationships/hyperlink" Target="https://saloka.id/auth/select-role" TargetMode="External" Id="rId3"/><Relationship Type="http://schemas.openxmlformats.org/officeDocument/2006/relationships/hyperlink" Target="https://saloka.id/forgot-password" TargetMode="External" Id="rId4"/><Relationship Type="http://schemas.openxmlformats.org/officeDocument/2006/relationships/hyperlink" Target="https://saloka.id/onboarding" TargetMode="External" Id="rId5"/><Relationship Type="http://schemas.openxmlformats.org/officeDocument/2006/relationships/hyperlink" Target="https://saloka.id/settings" TargetMode="External" Id="rId6"/><Relationship Type="http://schemas.openxmlformats.org/officeDocument/2006/relationships/hyperlink" Target="https://saloka.id/settings (tab dipilih di dalam halaman)" TargetMode="External" Id="rId7"/><Relationship Type="http://schemas.openxmlformats.org/officeDocument/2006/relationships/hyperlink" Target="https://saloka.id/settings (tab dipilih di dalam halaman)" TargetMode="External" Id="rId8"/><Relationship Type="http://schemas.openxmlformats.org/officeDocument/2006/relationships/hyperlink" Target="https://saloka.id/settings (tab dipilih di dalam halaman)" TargetMode="External" Id="rId9"/><Relationship Type="http://schemas.openxmlformats.org/officeDocument/2006/relationships/hyperlink" Target="https://saloka.id/settings (tab dipilih di dalam halaman)" TargetMode="External" Id="rId10"/><Relationship Type="http://schemas.openxmlformats.org/officeDocument/2006/relationships/hyperlink" Target="https://saloka.id/settings (tab dipilih di dalam halaman)" TargetMode="External" Id="rId11"/><Relationship Type="http://schemas.openxmlformats.org/officeDocument/2006/relationships/hyperlink" Target="https://saloka.id/settings (tab dipilih di dalam halaman)" TargetMode="External" Id="rId12"/><Relationship Type="http://schemas.openxmlformats.org/officeDocument/2006/relationships/hyperlink" Target="https://saloka.id/settings (tab dipilih di dalam halaman)" TargetMode="External" Id="rId13"/><Relationship Type="http://schemas.openxmlformats.org/officeDocument/2006/relationships/hyperlink" Target="https://saloka.id/settings (tab dipilih di dalam halaman)" TargetMode="External" Id="rId14"/><Relationship Type="http://schemas.openxmlformats.org/officeDocument/2006/relationships/hyperlink" Target="https://saloka.id/kyc/callback" TargetMode="External" Id="rId15"/><Relationship Type="http://schemas.openxmlformats.org/officeDocument/2006/relationships/hyperlink" Target="https://saloka.id/market" TargetMode="External" Id="rId16"/><Relationship Type="http://schemas.openxmlformats.org/officeDocument/2006/relationships/hyperlink" Target="https://saloka.id/cart" TargetMode="External" Id="rId17"/><Relationship Type="http://schemas.openxmlformats.org/officeDocument/2006/relationships/hyperlink" Target="https://saloka.id/orders" TargetMode="External" Id="rId18"/><Relationship Type="http://schemas.openxmlformats.org/officeDocument/2006/relationships/hyperlink" Target="https://saloka.id/cms_admin/products" TargetMode="External" Id="rId19"/><Relationship Type="http://schemas.openxmlformats.org/officeDocument/2006/relationships/hyperlink" Target="https://saloka.id/jasa" TargetMode="External" Id="rId20"/><Relationship Type="http://schemas.openxmlformats.org/officeDocument/2006/relationships/hyperlink" Target="https://saloka.id/cms_admin/services/katalog" TargetMode="External" Id="rId21"/><Relationship Type="http://schemas.openxmlformats.org/officeDocument/2006/relationships/hyperlink" Target="https://saloka.id/cms_admin/services/katalog" TargetMode="External" Id="rId22"/><Relationship Type="http://schemas.openxmlformats.org/officeDocument/2006/relationships/hyperlink" Target="https://saloka.id/cms_admin/services/booking" TargetMode="External" Id="rId23"/><Relationship Type="http://schemas.openxmlformats.org/officeDocument/2006/relationships/hyperlink" Target="https://saloka.id/cms_admin/services/jadwal" TargetMode="External" Id="rId24"/><Relationship Type="http://schemas.openxmlformats.org/officeDocument/2006/relationships/hyperlink" Target="https://saloka.id/snackbox" TargetMode="External" Id="rId25"/><Relationship Type="http://schemas.openxmlformats.org/officeDocument/2006/relationships/hyperlink" Target="https://saloka.id/cart" TargetMode="External" Id="rId26"/><Relationship Type="http://schemas.openxmlformats.org/officeDocument/2006/relationships/hyperlink" Target="https://saloka.id/cms_admin/snackbox-kurasi/merchant" TargetMode="External" Id="rId27"/><Relationship Type="http://schemas.openxmlformats.org/officeDocument/2006/relationships/hyperlink" Target="https://saloka.id/cms_admin/snackbox-kurasi/merchant" TargetMode="External" Id="rId28"/><Relationship Type="http://schemas.openxmlformats.org/officeDocument/2006/relationships/hyperlink" Target="https://saloka.id/cms_admin/snackbox-kurasi/katalog" TargetMode="External" Id="rId29"/><Relationship Type="http://schemas.openxmlformats.org/officeDocument/2006/relationships/hyperlink" Target="https://saloka.id/cms_admin/snackbox-order/pending" TargetMode="External" Id="rId30"/><Relationship Type="http://schemas.openxmlformats.org/officeDocument/2006/relationships/hyperlink" Target="https://saloka.id/cms_admin/snackbox-coverage" TargetMode="External" Id="rId31"/><Relationship Type="http://schemas.openxmlformats.org/officeDocument/2006/relationships/hyperlink" Target="https://saloka.id/cms_admin/snackbox-payout" TargetMode="External" Id="rId32"/><Relationship Type="http://schemas.openxmlformats.org/officeDocument/2006/relationships/hyperlink" Target="https://saloka.id/community" TargetMode="External" Id="rId33"/><Relationship Type="http://schemas.openxmlformats.org/officeDocument/2006/relationships/hyperlink" Target="https://saloka.id/cms_admin/communities/daftar" TargetMode="External" Id="rId34"/><Relationship Type="http://schemas.openxmlformats.org/officeDocument/2006/relationships/hyperlink" Target="https://saloka.id/cms_admin/communities/daftar" TargetMode="External" Id="rId35"/><Relationship Type="http://schemas.openxmlformats.org/officeDocument/2006/relationships/hyperlink" Target="https://saloka.id/cms_admin/communities/invoice" TargetMode="External" Id="rId36"/><Relationship Type="http://schemas.openxmlformats.org/officeDocument/2006/relationships/hyperlink" Target="https://saloka.id/cms_admin/communities/forum" TargetMode="External" Id="rId37"/><Relationship Type="http://schemas.openxmlformats.org/officeDocument/2006/relationships/hyperlink" Target="https://saloka.id/cms_admin/communities/laporan" TargetMode="External" Id="rId38"/><Relationship Type="http://schemas.openxmlformats.org/officeDocument/2006/relationships/hyperlink" Target="https://saloka.id/cms_admin/communities/kyc" TargetMode="External" Id="rId39"/><Relationship Type="http://schemas.openxmlformats.org/officeDocument/2006/relationships/hyperlink" Target="https://saloka.id/wallet" TargetMode="External" Id="rId40"/><Relationship Type="http://schemas.openxmlformats.org/officeDocument/2006/relationships/hyperlink" Target="https://saloka.id/wallet/coin" TargetMode="External" Id="rId41"/><Relationship Type="http://schemas.openxmlformats.org/officeDocument/2006/relationships/hyperlink" Target="https://saloka.id/voucher" TargetMode="External" Id="rId42"/><Relationship Type="http://schemas.openxmlformats.org/officeDocument/2006/relationships/hyperlink" Target="https://saloka.id/cms_admin/transactions" TargetMode="External" Id="rId43"/><Relationship Type="http://schemas.openxmlformats.org/officeDocument/2006/relationships/hyperlink" Target="https://saloka.id/cms_admin/withdrawals" TargetMode="External" Id="rId44"/><Relationship Type="http://schemas.openxmlformats.org/officeDocument/2006/relationships/hyperlink" Target="https://saloka.id/cms_admin/coins/supply" TargetMode="External" Id="rId45"/><Relationship Type="http://schemas.openxmlformats.org/officeDocument/2006/relationships/hyperlink" Target="https://saloka.id/cms_admin/coins/supply" TargetMode="External" Id="rId46"/><Relationship Type="http://schemas.openxmlformats.org/officeDocument/2006/relationships/hyperlink" Target="https://saloka.id/cms_admin/coins/holders" TargetMode="External" Id="rId47"/><Relationship Type="http://schemas.openxmlformats.org/officeDocument/2006/relationships/hyperlink" Target="https://saloka.id/cms_admin/coins/voucher" TargetMode="External" Id="rId48"/><Relationship Type="http://schemas.openxmlformats.org/officeDocument/2006/relationships/hyperlink" Target="https://saloka.id/cms_admin/coins/ledger" TargetMode="External" Id="rId49"/><Relationship Type="http://schemas.openxmlformats.org/officeDocument/2006/relationships/hyperlink" Target="https://saloka.id/cms_admin/payment-methods" TargetMode="External" Id="rId50"/><Relationship Type="http://schemas.openxmlformats.org/officeDocument/2006/relationships/hyperlink" Target="https://saloka.id/merchant/dashboard?tab=overview" TargetMode="External" Id="rId51"/><Relationship Type="http://schemas.openxmlformats.org/officeDocument/2006/relationships/hyperlink" Target="https://saloka.id/merchant/dashboard?tab=overview" TargetMode="External" Id="rId52"/><Relationship Type="http://schemas.openxmlformats.org/officeDocument/2006/relationships/hyperlink" Target="https://saloka.id/merchant/dashboard?tab=catalog" TargetMode="External" Id="rId53"/><Relationship Type="http://schemas.openxmlformats.org/officeDocument/2006/relationships/hyperlink" Target="https://saloka.id/merchant/dashboard?tab=add" TargetMode="External" Id="rId54"/><Relationship Type="http://schemas.openxmlformats.org/officeDocument/2006/relationships/hyperlink" Target="https://saloka.id/merchant/dashboard?tab=services" TargetMode="External" Id="rId55"/><Relationship Type="http://schemas.openxmlformats.org/officeDocument/2006/relationships/hyperlink" Target="https://saloka.id/merchant/dashboard?tab=bookings" TargetMode="External" Id="rId56"/><Relationship Type="http://schemas.openxmlformats.org/officeDocument/2006/relationships/hyperlink" Target="https://saloka.id/merchant/dashboard?tab=orders" TargetMode="External" Id="rId57"/><Relationship Type="http://schemas.openxmlformats.org/officeDocument/2006/relationships/hyperlink" Target="https://saloka.id/merchant/dashboard?tab=analytics" TargetMode="External" Id="rId58"/><Relationship Type="http://schemas.openxmlformats.org/officeDocument/2006/relationships/hyperlink" Target="https://saloka.id/merchant/dashboard?tab=pages" TargetMode="External" Id="rId59"/><Relationship Type="http://schemas.openxmlformats.org/officeDocument/2006/relationships/hyperlink" Target="https://saloka.id/merchant/dashboard?tab=customization" TargetMode="External" Id="rId60"/><Relationship Type="http://schemas.openxmlformats.org/officeDocument/2006/relationships/hyperlink" Target="https://saloka.id/merchant/dashboard?tab=academy" TargetMode="External" Id="rId61"/><Relationship Type="http://schemas.openxmlformats.org/officeDocument/2006/relationships/hyperlink" Target="https://saloka.id/merchant/dashboard?tab=leveling" TargetMode="External" Id="rId62"/><Relationship Type="http://schemas.openxmlformats.org/officeDocument/2006/relationships/hyperlink" Target="https://saloka.id/cms_admin/merchants/verifikasi" TargetMode="External" Id="rId63"/><Relationship Type="http://schemas.openxmlformats.org/officeDocument/2006/relationships/hyperlink" Target="https://saloka.id/affiliate?tab=dashboard" TargetMode="External" Id="rId64"/><Relationship Type="http://schemas.openxmlformats.org/officeDocument/2006/relationships/hyperlink" Target="https://saloka.id/cms_admin/affiliates" TargetMode="External" Id="rId65"/><Relationship Type="http://schemas.openxmlformats.org/officeDocument/2006/relationships/hyperlink" Target="https://saloka.id/academy" TargetMode="External" Id="rId66"/><Relationship Type="http://schemas.openxmlformats.org/officeDocument/2006/relationships/hyperlink" Target="https://saloka.id/cms_admin/academy/kursus" TargetMode="External" Id="rId67"/><Relationship Type="http://schemas.openxmlformats.org/officeDocument/2006/relationships/hyperlink" Target="https://saloka.id/cms_admin/academy/kursus" TargetMode="External" Id="rId68"/><Relationship Type="http://schemas.openxmlformats.org/officeDocument/2006/relationships/hyperlink" Target="https://saloka.id/cms_admin/academy/sertifikat" TargetMode="External" Id="rId69"/><Relationship Type="http://schemas.openxmlformats.org/officeDocument/2006/relationships/hyperlink" Target="https://saloka.id/chat" TargetMode="External" Id="rId70"/><Relationship Type="http://schemas.openxmlformats.org/officeDocument/2006/relationships/hyperlink" Target="https://saloka.id/cs" TargetMode="External" Id="rId71"/><Relationship Type="http://schemas.openxmlformats.org/officeDocument/2006/relationships/hyperlink" Target="https://saloka.id/cms_admin/support" TargetMode="External" Id="rId72"/><Relationship Type="http://schemas.openxmlformats.org/officeDocument/2006/relationships/hyperlink" Target="https://saloka.id/cms_admin" TargetMode="External" Id="rId73"/><Relationship Type="http://schemas.openxmlformats.org/officeDocument/2006/relationships/hyperlink" Target="https://saloka.id/cms_admin/overview" TargetMode="External" Id="rId74"/><Relationship Type="http://schemas.openxmlformats.org/officeDocument/2006/relationships/hyperlink" Target="https://saloka.id/cms_admin/users" TargetMode="External" Id="rId75"/><Relationship Type="http://schemas.openxmlformats.org/officeDocument/2006/relationships/hyperlink" Target="https://saloka.id/cms_admin/admins" TargetMode="External" Id="rId76"/><Relationship Type="http://schemas.openxmlformats.org/officeDocument/2006/relationships/hyperlink" Target="https://saloka.id/cms_admin/content/banner" TargetMode="External" Id="rId77"/><Relationship Type="http://schemas.openxmlformats.org/officeDocument/2006/relationships/hyperlink" Target="https://saloka.id/cms_admin/audit/semua" TargetMode="External" Id="rId78"/><Relationship Type="http://schemas.openxmlformats.org/officeDocument/2006/relationships/hyperlink" Target="https://saloka.id/privacy" TargetMode="External" Id="rId79"/><Relationship Type="http://schemas.openxmlformats.org/officeDocument/2006/relationships/hyperlink" Target="https://saloka.id/terms" TargetMode="External" Id="rId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70" customWidth="1" min="3" max="3"/>
    <col width="13" customWidth="1" min="4" max="4"/>
    <col width="11" customWidth="1" min="5" max="5"/>
    <col width="12" customWidth="1" min="6" max="6"/>
    <col width="13" customWidth="1" min="7" max="7"/>
    <col width="13" customWidth="1" min="8" max="8"/>
    <col width="11" customWidth="1" min="9" max="9"/>
    <col width="13" customWidth="1" min="10" max="10"/>
  </cols>
  <sheetData>
    <row r="1">
      <c r="A1" s="1" t="inlineStr">
        <is>
          <t>Saloka.id — Ringkasan Progres Fitur</t>
        </is>
      </c>
    </row>
    <row r="2">
      <c r="A2" s="2" t="inlineStr">
        <is>
          <t>Snapshot 13 Sep 2026; baris Snackbox, Keranjang/Pelacakan Pesanan, DOKU, Biteship, dan modul Komunitas 6.c.xv–xxiv diverifikasi ulang 30 Sep 2026. Angka diperbarui otomatis ketika status diubah di sheet “Pelacak Fitur”.</t>
        </is>
      </c>
    </row>
    <row r="4">
      <c r="A4" s="3" t="inlineStr">
        <is>
          <t>Fitur</t>
        </is>
      </c>
      <c r="B4" s="3" t="inlineStr">
        <is>
          <t>Status keseluruhan</t>
        </is>
      </c>
      <c r="C4" s="3" t="inlineStr">
        <is>
          <t>Ringkasan</t>
        </is>
      </c>
      <c r="D4" s="3" t="inlineStr">
        <is>
          <t>Halaman / tab yang dilacak</t>
        </is>
      </c>
      <c r="E4" s="3" t="inlineStr">
        <is>
          <t>Selesai</t>
        </is>
      </c>
      <c r="F4" s="3" t="inlineStr">
        <is>
          <t>Quality Check</t>
        </is>
      </c>
      <c r="G4" s="3" t="inlineStr">
        <is>
          <t>Sedang Berjalan</t>
        </is>
      </c>
      <c r="H4" s="3" t="inlineStr">
        <is>
          <t>Belum Dimulai</t>
        </is>
      </c>
      <c r="I4" s="3" t="inlineStr">
        <is>
          <t>% Selesai</t>
        </is>
      </c>
      <c r="J4" s="3" t="inlineStr">
        <is>
          <t>% Selesai atau dalam QC</t>
        </is>
      </c>
    </row>
    <row r="5">
      <c r="A5" s="4" t="inlineStr">
        <is>
          <t>Halaman Utama &amp; Pencarian</t>
        </is>
      </c>
      <c r="B5" s="5">
        <f>INDEX('Pelacak Fitur'!$E:$E,MATCH($A5,'Pelacak Fitur'!$D:$D,0))</f>
        <v/>
      </c>
      <c r="C5" s="5">
        <f>INDEX('Pelacak Fitur'!$F:$F,MATCH($A5,'Pelacak Fitur'!$D:$D,0))</f>
        <v/>
      </c>
      <c r="D5" s="5">
        <f>COUNTIFS('Pelacak Fitur'!$B:$B,$A5,'Pelacak Fitur'!$C:$C,"&lt;&gt;Fitur")</f>
        <v/>
      </c>
      <c r="E5" s="5">
        <f>COUNTIFS('Pelacak Fitur'!$B:$B,$A5,'Pelacak Fitur'!$C:$C,"&lt;&gt;Fitur",'Pelacak Fitur'!$E:$E,"Selesai")</f>
        <v/>
      </c>
      <c r="F5" s="5">
        <f>COUNTIFS('Pelacak Fitur'!$B:$B,$A5,'Pelacak Fitur'!$C:$C,"&lt;&gt;Fitur",'Pelacak Fitur'!$E:$E,"Quality Check")</f>
        <v/>
      </c>
      <c r="G5" s="5">
        <f>COUNTIFS('Pelacak Fitur'!$B:$B,$A5,'Pelacak Fitur'!$C:$C,"&lt;&gt;Fitur",'Pelacak Fitur'!$E:$E,"Sedang Berjalan")</f>
        <v/>
      </c>
      <c r="H5" s="5">
        <f>COUNTIFS('Pelacak Fitur'!$B:$B,$A5,'Pelacak Fitur'!$C:$C,"&lt;&gt;Fitur",'Pelacak Fitur'!$E:$E,"Belum Dimulai")</f>
        <v/>
      </c>
      <c r="I5" s="6">
        <f>IF(D5=0,"",E5/D5)</f>
        <v/>
      </c>
      <c r="J5" s="6">
        <f>IF(D5=0,"",(E5+F5)/D5)</f>
        <v/>
      </c>
    </row>
    <row r="6">
      <c r="A6" s="4" t="inlineStr">
        <is>
          <t>Akun &amp; Identitas</t>
        </is>
      </c>
      <c r="B6" s="5">
        <f>INDEX('Pelacak Fitur'!$E:$E,MATCH($A6,'Pelacak Fitur'!$D:$D,0))</f>
        <v/>
      </c>
      <c r="C6" s="5">
        <f>INDEX('Pelacak Fitur'!$F:$F,MATCH($A6,'Pelacak Fitur'!$D:$D,0))</f>
        <v/>
      </c>
      <c r="D6" s="5">
        <f>COUNTIFS('Pelacak Fitur'!$B:$B,$A6,'Pelacak Fitur'!$C:$C,"&lt;&gt;Fitur")</f>
        <v/>
      </c>
      <c r="E6" s="5">
        <f>COUNTIFS('Pelacak Fitur'!$B:$B,$A6,'Pelacak Fitur'!$C:$C,"&lt;&gt;Fitur",'Pelacak Fitur'!$E:$E,"Selesai")</f>
        <v/>
      </c>
      <c r="F6" s="5">
        <f>COUNTIFS('Pelacak Fitur'!$B:$B,$A6,'Pelacak Fitur'!$C:$C,"&lt;&gt;Fitur",'Pelacak Fitur'!$E:$E,"Quality Check")</f>
        <v/>
      </c>
      <c r="G6" s="5">
        <f>COUNTIFS('Pelacak Fitur'!$B:$B,$A6,'Pelacak Fitur'!$C:$C,"&lt;&gt;Fitur",'Pelacak Fitur'!$E:$E,"Sedang Berjalan")</f>
        <v/>
      </c>
      <c r="H6" s="5">
        <f>COUNTIFS('Pelacak Fitur'!$B:$B,$A6,'Pelacak Fitur'!$C:$C,"&lt;&gt;Fitur",'Pelacak Fitur'!$E:$E,"Belum Dimulai")</f>
        <v/>
      </c>
      <c r="I6" s="6">
        <f>IF(D6=0,"",E6/D6)</f>
        <v/>
      </c>
      <c r="J6" s="6">
        <f>IF(D6=0,"",(E6+F6)/D6)</f>
        <v/>
      </c>
    </row>
    <row r="7">
      <c r="A7" s="4" t="inlineStr">
        <is>
          <t>Marketplace (Produk)</t>
        </is>
      </c>
      <c r="B7" s="5">
        <f>INDEX('Pelacak Fitur'!$E:$E,MATCH($A7,'Pelacak Fitur'!$D:$D,0))</f>
        <v/>
      </c>
      <c r="C7" s="5">
        <f>INDEX('Pelacak Fitur'!$F:$F,MATCH($A7,'Pelacak Fitur'!$D:$D,0))</f>
        <v/>
      </c>
      <c r="D7" s="5">
        <f>COUNTIFS('Pelacak Fitur'!$B:$B,$A7,'Pelacak Fitur'!$C:$C,"&lt;&gt;Fitur")</f>
        <v/>
      </c>
      <c r="E7" s="5">
        <f>COUNTIFS('Pelacak Fitur'!$B:$B,$A7,'Pelacak Fitur'!$C:$C,"&lt;&gt;Fitur",'Pelacak Fitur'!$E:$E,"Selesai")</f>
        <v/>
      </c>
      <c r="F7" s="5">
        <f>COUNTIFS('Pelacak Fitur'!$B:$B,$A7,'Pelacak Fitur'!$C:$C,"&lt;&gt;Fitur",'Pelacak Fitur'!$E:$E,"Quality Check")</f>
        <v/>
      </c>
      <c r="G7" s="5">
        <f>COUNTIFS('Pelacak Fitur'!$B:$B,$A7,'Pelacak Fitur'!$C:$C,"&lt;&gt;Fitur",'Pelacak Fitur'!$E:$E,"Sedang Berjalan")</f>
        <v/>
      </c>
      <c r="H7" s="5">
        <f>COUNTIFS('Pelacak Fitur'!$B:$B,$A7,'Pelacak Fitur'!$C:$C,"&lt;&gt;Fitur",'Pelacak Fitur'!$E:$E,"Belum Dimulai")</f>
        <v/>
      </c>
      <c r="I7" s="6">
        <f>IF(D7=0,"",E7/D7)</f>
        <v/>
      </c>
      <c r="J7" s="6">
        <f>IF(D7=0,"",(E7+F7)/D7)</f>
        <v/>
      </c>
    </row>
    <row r="8">
      <c r="A8" s="4" t="inlineStr">
        <is>
          <t>Jasa</t>
        </is>
      </c>
      <c r="B8" s="5">
        <f>INDEX('Pelacak Fitur'!$E:$E,MATCH($A8,'Pelacak Fitur'!$D:$D,0))</f>
        <v/>
      </c>
      <c r="C8" s="5">
        <f>INDEX('Pelacak Fitur'!$F:$F,MATCH($A8,'Pelacak Fitur'!$D:$D,0))</f>
        <v/>
      </c>
      <c r="D8" s="5">
        <f>COUNTIFS('Pelacak Fitur'!$B:$B,$A8,'Pelacak Fitur'!$C:$C,"&lt;&gt;Fitur")</f>
        <v/>
      </c>
      <c r="E8" s="5">
        <f>COUNTIFS('Pelacak Fitur'!$B:$B,$A8,'Pelacak Fitur'!$C:$C,"&lt;&gt;Fitur",'Pelacak Fitur'!$E:$E,"Selesai")</f>
        <v/>
      </c>
      <c r="F8" s="5">
        <f>COUNTIFS('Pelacak Fitur'!$B:$B,$A8,'Pelacak Fitur'!$C:$C,"&lt;&gt;Fitur",'Pelacak Fitur'!$E:$E,"Quality Check")</f>
        <v/>
      </c>
      <c r="G8" s="5">
        <f>COUNTIFS('Pelacak Fitur'!$B:$B,$A8,'Pelacak Fitur'!$C:$C,"&lt;&gt;Fitur",'Pelacak Fitur'!$E:$E,"Sedang Berjalan")</f>
        <v/>
      </c>
      <c r="H8" s="5">
        <f>COUNTIFS('Pelacak Fitur'!$B:$B,$A8,'Pelacak Fitur'!$C:$C,"&lt;&gt;Fitur",'Pelacak Fitur'!$E:$E,"Belum Dimulai")</f>
        <v/>
      </c>
      <c r="I8" s="6">
        <f>IF(D8=0,"",E8/D8)</f>
        <v/>
      </c>
      <c r="J8" s="6">
        <f>IF(D8=0,"",(E8+F8)/D8)</f>
        <v/>
      </c>
    </row>
    <row r="9">
      <c r="A9" s="4" t="inlineStr">
        <is>
          <t>Snackbox</t>
        </is>
      </c>
      <c r="B9" s="5">
        <f>INDEX('Pelacak Fitur'!$E:$E,MATCH($A9,'Pelacak Fitur'!$D:$D,0))</f>
        <v/>
      </c>
      <c r="C9" s="5">
        <f>INDEX('Pelacak Fitur'!$F:$F,MATCH($A9,'Pelacak Fitur'!$D:$D,0))</f>
        <v/>
      </c>
      <c r="D9" s="5">
        <f>COUNTIFS('Pelacak Fitur'!$B:$B,$A9,'Pelacak Fitur'!$C:$C,"&lt;&gt;Fitur")</f>
        <v/>
      </c>
      <c r="E9" s="5">
        <f>COUNTIFS('Pelacak Fitur'!$B:$B,$A9,'Pelacak Fitur'!$C:$C,"&lt;&gt;Fitur",'Pelacak Fitur'!$E:$E,"Selesai")</f>
        <v/>
      </c>
      <c r="F9" s="5">
        <f>COUNTIFS('Pelacak Fitur'!$B:$B,$A9,'Pelacak Fitur'!$C:$C,"&lt;&gt;Fitur",'Pelacak Fitur'!$E:$E,"Quality Check")</f>
        <v/>
      </c>
      <c r="G9" s="5">
        <f>COUNTIFS('Pelacak Fitur'!$B:$B,$A9,'Pelacak Fitur'!$C:$C,"&lt;&gt;Fitur",'Pelacak Fitur'!$E:$E,"Sedang Berjalan")</f>
        <v/>
      </c>
      <c r="H9" s="5">
        <f>COUNTIFS('Pelacak Fitur'!$B:$B,$A9,'Pelacak Fitur'!$C:$C,"&lt;&gt;Fitur",'Pelacak Fitur'!$E:$E,"Belum Dimulai")</f>
        <v/>
      </c>
      <c r="I9" s="6">
        <f>IF(D9=0,"",E9/D9)</f>
        <v/>
      </c>
      <c r="J9" s="6">
        <f>IF(D9=0,"",(E9+F9)/D9)</f>
        <v/>
      </c>
    </row>
    <row r="10">
      <c r="A10" s="4" t="inlineStr">
        <is>
          <t>Komunitas</t>
        </is>
      </c>
      <c r="B10" s="5">
        <f>INDEX('Pelacak Fitur'!$E:$E,MATCH($A10,'Pelacak Fitur'!$D:$D,0))</f>
        <v/>
      </c>
      <c r="C10" s="5">
        <f>INDEX('Pelacak Fitur'!$F:$F,MATCH($A10,'Pelacak Fitur'!$D:$D,0))</f>
        <v/>
      </c>
      <c r="D10" s="5">
        <f>COUNTIFS('Pelacak Fitur'!$B:$B,$A10,'Pelacak Fitur'!$C:$C,"&lt;&gt;Fitur")</f>
        <v/>
      </c>
      <c r="E10" s="5">
        <f>COUNTIFS('Pelacak Fitur'!$B:$B,$A10,'Pelacak Fitur'!$C:$C,"&lt;&gt;Fitur",'Pelacak Fitur'!$E:$E,"Selesai")</f>
        <v/>
      </c>
      <c r="F10" s="5">
        <f>COUNTIFS('Pelacak Fitur'!$B:$B,$A10,'Pelacak Fitur'!$C:$C,"&lt;&gt;Fitur",'Pelacak Fitur'!$E:$E,"Quality Check")</f>
        <v/>
      </c>
      <c r="G10" s="5">
        <f>COUNTIFS('Pelacak Fitur'!$B:$B,$A10,'Pelacak Fitur'!$C:$C,"&lt;&gt;Fitur",'Pelacak Fitur'!$E:$E,"Sedang Berjalan")</f>
        <v/>
      </c>
      <c r="H10" s="5">
        <f>COUNTIFS('Pelacak Fitur'!$B:$B,$A10,'Pelacak Fitur'!$C:$C,"&lt;&gt;Fitur",'Pelacak Fitur'!$E:$E,"Belum Dimulai")</f>
        <v/>
      </c>
      <c r="I10" s="6">
        <f>IF(D10=0,"",E10/D10)</f>
        <v/>
      </c>
      <c r="J10" s="6">
        <f>IF(D10=0,"",(E10+F10)/D10)</f>
        <v/>
      </c>
    </row>
    <row r="11">
      <c r="A11" s="4" t="inlineStr">
        <is>
          <t>Pembayaran, Wallet &amp; Koin</t>
        </is>
      </c>
      <c r="B11" s="5">
        <f>INDEX('Pelacak Fitur'!$E:$E,MATCH($A11,'Pelacak Fitur'!$D:$D,0))</f>
        <v/>
      </c>
      <c r="C11" s="5">
        <f>INDEX('Pelacak Fitur'!$F:$F,MATCH($A11,'Pelacak Fitur'!$D:$D,0))</f>
        <v/>
      </c>
      <c r="D11" s="5">
        <f>COUNTIFS('Pelacak Fitur'!$B:$B,$A11,'Pelacak Fitur'!$C:$C,"&lt;&gt;Fitur")</f>
        <v/>
      </c>
      <c r="E11" s="5">
        <f>COUNTIFS('Pelacak Fitur'!$B:$B,$A11,'Pelacak Fitur'!$C:$C,"&lt;&gt;Fitur",'Pelacak Fitur'!$E:$E,"Selesai")</f>
        <v/>
      </c>
      <c r="F11" s="5">
        <f>COUNTIFS('Pelacak Fitur'!$B:$B,$A11,'Pelacak Fitur'!$C:$C,"&lt;&gt;Fitur",'Pelacak Fitur'!$E:$E,"Quality Check")</f>
        <v/>
      </c>
      <c r="G11" s="5">
        <f>COUNTIFS('Pelacak Fitur'!$B:$B,$A11,'Pelacak Fitur'!$C:$C,"&lt;&gt;Fitur",'Pelacak Fitur'!$E:$E,"Sedang Berjalan")</f>
        <v/>
      </c>
      <c r="H11" s="5">
        <f>COUNTIFS('Pelacak Fitur'!$B:$B,$A11,'Pelacak Fitur'!$C:$C,"&lt;&gt;Fitur",'Pelacak Fitur'!$E:$E,"Belum Dimulai")</f>
        <v/>
      </c>
      <c r="I11" s="6">
        <f>IF(D11=0,"",E11/D11)</f>
        <v/>
      </c>
      <c r="J11" s="6">
        <f>IF(D11=0,"",(E11+F11)/D11)</f>
        <v/>
      </c>
    </row>
    <row r="12">
      <c r="A12" s="4" t="inlineStr">
        <is>
          <t>Alat Merchant &amp; Storefront</t>
        </is>
      </c>
      <c r="B12" s="5">
        <f>INDEX('Pelacak Fitur'!$E:$E,MATCH($A12,'Pelacak Fitur'!$D:$D,0))</f>
        <v/>
      </c>
      <c r="C12" s="5">
        <f>INDEX('Pelacak Fitur'!$F:$F,MATCH($A12,'Pelacak Fitur'!$D:$D,0))</f>
        <v/>
      </c>
      <c r="D12" s="5">
        <f>COUNTIFS('Pelacak Fitur'!$B:$B,$A12,'Pelacak Fitur'!$C:$C,"&lt;&gt;Fitur")</f>
        <v/>
      </c>
      <c r="E12" s="5">
        <f>COUNTIFS('Pelacak Fitur'!$B:$B,$A12,'Pelacak Fitur'!$C:$C,"&lt;&gt;Fitur",'Pelacak Fitur'!$E:$E,"Selesai")</f>
        <v/>
      </c>
      <c r="F12" s="5">
        <f>COUNTIFS('Pelacak Fitur'!$B:$B,$A12,'Pelacak Fitur'!$C:$C,"&lt;&gt;Fitur",'Pelacak Fitur'!$E:$E,"Quality Check")</f>
        <v/>
      </c>
      <c r="G12" s="5">
        <f>COUNTIFS('Pelacak Fitur'!$B:$B,$A12,'Pelacak Fitur'!$C:$C,"&lt;&gt;Fitur",'Pelacak Fitur'!$E:$E,"Sedang Berjalan")</f>
        <v/>
      </c>
      <c r="H12" s="5">
        <f>COUNTIFS('Pelacak Fitur'!$B:$B,$A12,'Pelacak Fitur'!$C:$C,"&lt;&gt;Fitur",'Pelacak Fitur'!$E:$E,"Belum Dimulai")</f>
        <v/>
      </c>
      <c r="I12" s="6">
        <f>IF(D12=0,"",E12/D12)</f>
        <v/>
      </c>
      <c r="J12" s="6">
        <f>IF(D12=0,"",(E12+F12)/D12)</f>
        <v/>
      </c>
    </row>
    <row r="13">
      <c r="A13" s="4" t="inlineStr">
        <is>
          <t>Affiliate</t>
        </is>
      </c>
      <c r="B13" s="5">
        <f>INDEX('Pelacak Fitur'!$E:$E,MATCH($A13,'Pelacak Fitur'!$D:$D,0))</f>
        <v/>
      </c>
      <c r="C13" s="5">
        <f>INDEX('Pelacak Fitur'!$F:$F,MATCH($A13,'Pelacak Fitur'!$D:$D,0))</f>
        <v/>
      </c>
      <c r="D13" s="5">
        <f>COUNTIFS('Pelacak Fitur'!$B:$B,$A13,'Pelacak Fitur'!$C:$C,"&lt;&gt;Fitur")</f>
        <v/>
      </c>
      <c r="E13" s="5">
        <f>COUNTIFS('Pelacak Fitur'!$B:$B,$A13,'Pelacak Fitur'!$C:$C,"&lt;&gt;Fitur",'Pelacak Fitur'!$E:$E,"Selesai")</f>
        <v/>
      </c>
      <c r="F13" s="5">
        <f>COUNTIFS('Pelacak Fitur'!$B:$B,$A13,'Pelacak Fitur'!$C:$C,"&lt;&gt;Fitur",'Pelacak Fitur'!$E:$E,"Quality Check")</f>
        <v/>
      </c>
      <c r="G13" s="5">
        <f>COUNTIFS('Pelacak Fitur'!$B:$B,$A13,'Pelacak Fitur'!$C:$C,"&lt;&gt;Fitur",'Pelacak Fitur'!$E:$E,"Sedang Berjalan")</f>
        <v/>
      </c>
      <c r="H13" s="5">
        <f>COUNTIFS('Pelacak Fitur'!$B:$B,$A13,'Pelacak Fitur'!$C:$C,"&lt;&gt;Fitur",'Pelacak Fitur'!$E:$E,"Belum Dimulai")</f>
        <v/>
      </c>
      <c r="I13" s="6">
        <f>IF(D13=0,"",E13/D13)</f>
        <v/>
      </c>
      <c r="J13" s="6">
        <f>IF(D13=0,"",(E13+F13)/D13)</f>
        <v/>
      </c>
    </row>
    <row r="14">
      <c r="A14" s="4" t="inlineStr">
        <is>
          <t>Academy (LMS)</t>
        </is>
      </c>
      <c r="B14" s="5">
        <f>INDEX('Pelacak Fitur'!$E:$E,MATCH($A14,'Pelacak Fitur'!$D:$D,0))</f>
        <v/>
      </c>
      <c r="C14" s="5">
        <f>INDEX('Pelacak Fitur'!$F:$F,MATCH($A14,'Pelacak Fitur'!$D:$D,0))</f>
        <v/>
      </c>
      <c r="D14" s="5">
        <f>COUNTIFS('Pelacak Fitur'!$B:$B,$A14,'Pelacak Fitur'!$C:$C,"&lt;&gt;Fitur")</f>
        <v/>
      </c>
      <c r="E14" s="5">
        <f>COUNTIFS('Pelacak Fitur'!$B:$B,$A14,'Pelacak Fitur'!$C:$C,"&lt;&gt;Fitur",'Pelacak Fitur'!$E:$E,"Selesai")</f>
        <v/>
      </c>
      <c r="F14" s="5">
        <f>COUNTIFS('Pelacak Fitur'!$B:$B,$A14,'Pelacak Fitur'!$C:$C,"&lt;&gt;Fitur",'Pelacak Fitur'!$E:$E,"Quality Check")</f>
        <v/>
      </c>
      <c r="G14" s="5">
        <f>COUNTIFS('Pelacak Fitur'!$B:$B,$A14,'Pelacak Fitur'!$C:$C,"&lt;&gt;Fitur",'Pelacak Fitur'!$E:$E,"Sedang Berjalan")</f>
        <v/>
      </c>
      <c r="H14" s="5">
        <f>COUNTIFS('Pelacak Fitur'!$B:$B,$A14,'Pelacak Fitur'!$C:$C,"&lt;&gt;Fitur",'Pelacak Fitur'!$E:$E,"Belum Dimulai")</f>
        <v/>
      </c>
      <c r="I14" s="6">
        <f>IF(D14=0,"",E14/D14)</f>
        <v/>
      </c>
      <c r="J14" s="6">
        <f>IF(D14=0,"",(E14+F14)/D14)</f>
        <v/>
      </c>
    </row>
    <row r="15">
      <c r="A15" s="4" t="inlineStr">
        <is>
          <t>Chat &amp; Layanan Pelanggan (CS)</t>
        </is>
      </c>
      <c r="B15" s="5">
        <f>INDEX('Pelacak Fitur'!$E:$E,MATCH($A15,'Pelacak Fitur'!$D:$D,0))</f>
        <v/>
      </c>
      <c r="C15" s="5">
        <f>INDEX('Pelacak Fitur'!$F:$F,MATCH($A15,'Pelacak Fitur'!$D:$D,0))</f>
        <v/>
      </c>
      <c r="D15" s="5">
        <f>COUNTIFS('Pelacak Fitur'!$B:$B,$A15,'Pelacak Fitur'!$C:$C,"&lt;&gt;Fitur")</f>
        <v/>
      </c>
      <c r="E15" s="5">
        <f>COUNTIFS('Pelacak Fitur'!$B:$B,$A15,'Pelacak Fitur'!$C:$C,"&lt;&gt;Fitur",'Pelacak Fitur'!$E:$E,"Selesai")</f>
        <v/>
      </c>
      <c r="F15" s="5">
        <f>COUNTIFS('Pelacak Fitur'!$B:$B,$A15,'Pelacak Fitur'!$C:$C,"&lt;&gt;Fitur",'Pelacak Fitur'!$E:$E,"Quality Check")</f>
        <v/>
      </c>
      <c r="G15" s="5">
        <f>COUNTIFS('Pelacak Fitur'!$B:$B,$A15,'Pelacak Fitur'!$C:$C,"&lt;&gt;Fitur",'Pelacak Fitur'!$E:$E,"Sedang Berjalan")</f>
        <v/>
      </c>
      <c r="H15" s="5">
        <f>COUNTIFS('Pelacak Fitur'!$B:$B,$A15,'Pelacak Fitur'!$C:$C,"&lt;&gt;Fitur",'Pelacak Fitur'!$E:$E,"Belum Dimulai")</f>
        <v/>
      </c>
      <c r="I15" s="6">
        <f>IF(D15=0,"",E15/D15)</f>
        <v/>
      </c>
      <c r="J15" s="6">
        <f>IF(D15=0,"",(E15+F15)/D15)</f>
        <v/>
      </c>
    </row>
    <row r="16">
      <c r="A16" s="4" t="inlineStr">
        <is>
          <t>Admin CMS (Platform)</t>
        </is>
      </c>
      <c r="B16" s="5">
        <f>INDEX('Pelacak Fitur'!$E:$E,MATCH($A16,'Pelacak Fitur'!$D:$D,0))</f>
        <v/>
      </c>
      <c r="C16" s="5">
        <f>INDEX('Pelacak Fitur'!$F:$F,MATCH($A16,'Pelacak Fitur'!$D:$D,0))</f>
        <v/>
      </c>
      <c r="D16" s="5">
        <f>COUNTIFS('Pelacak Fitur'!$B:$B,$A16,'Pelacak Fitur'!$C:$C,"&lt;&gt;Fitur")</f>
        <v/>
      </c>
      <c r="E16" s="5">
        <f>COUNTIFS('Pelacak Fitur'!$B:$B,$A16,'Pelacak Fitur'!$C:$C,"&lt;&gt;Fitur",'Pelacak Fitur'!$E:$E,"Selesai")</f>
        <v/>
      </c>
      <c r="F16" s="5">
        <f>COUNTIFS('Pelacak Fitur'!$B:$B,$A16,'Pelacak Fitur'!$C:$C,"&lt;&gt;Fitur",'Pelacak Fitur'!$E:$E,"Quality Check")</f>
        <v/>
      </c>
      <c r="G16" s="5">
        <f>COUNTIFS('Pelacak Fitur'!$B:$B,$A16,'Pelacak Fitur'!$C:$C,"&lt;&gt;Fitur",'Pelacak Fitur'!$E:$E,"Sedang Berjalan")</f>
        <v/>
      </c>
      <c r="H16" s="5">
        <f>COUNTIFS('Pelacak Fitur'!$B:$B,$A16,'Pelacak Fitur'!$C:$C,"&lt;&gt;Fitur",'Pelacak Fitur'!$E:$E,"Belum Dimulai")</f>
        <v/>
      </c>
      <c r="I16" s="6">
        <f>IF(D16=0,"",E16/D16)</f>
        <v/>
      </c>
      <c r="J16" s="6">
        <f>IF(D16=0,"",(E16+F16)/D16)</f>
        <v/>
      </c>
    </row>
    <row r="17">
      <c r="A17" s="4" t="inlineStr">
        <is>
          <t>Halaman Legal</t>
        </is>
      </c>
      <c r="B17" s="5">
        <f>INDEX('Pelacak Fitur'!$E:$E,MATCH($A17,'Pelacak Fitur'!$D:$D,0))</f>
        <v/>
      </c>
      <c r="C17" s="5">
        <f>INDEX('Pelacak Fitur'!$F:$F,MATCH($A17,'Pelacak Fitur'!$D:$D,0))</f>
        <v/>
      </c>
      <c r="D17" s="5">
        <f>COUNTIFS('Pelacak Fitur'!$B:$B,$A17,'Pelacak Fitur'!$C:$C,"&lt;&gt;Fitur")</f>
        <v/>
      </c>
      <c r="E17" s="5">
        <f>COUNTIFS('Pelacak Fitur'!$B:$B,$A17,'Pelacak Fitur'!$C:$C,"&lt;&gt;Fitur",'Pelacak Fitur'!$E:$E,"Selesai")</f>
        <v/>
      </c>
      <c r="F17" s="5">
        <f>COUNTIFS('Pelacak Fitur'!$B:$B,$A17,'Pelacak Fitur'!$C:$C,"&lt;&gt;Fitur",'Pelacak Fitur'!$E:$E,"Quality Check")</f>
        <v/>
      </c>
      <c r="G17" s="5">
        <f>COUNTIFS('Pelacak Fitur'!$B:$B,$A17,'Pelacak Fitur'!$C:$C,"&lt;&gt;Fitur",'Pelacak Fitur'!$E:$E,"Sedang Berjalan")</f>
        <v/>
      </c>
      <c r="H17" s="5">
        <f>COUNTIFS('Pelacak Fitur'!$B:$B,$A17,'Pelacak Fitur'!$C:$C,"&lt;&gt;Fitur",'Pelacak Fitur'!$E:$E,"Belum Dimulai")</f>
        <v/>
      </c>
      <c r="I17" s="6">
        <f>IF(D17=0,"",E17/D17)</f>
        <v/>
      </c>
      <c r="J17" s="6">
        <f>IF(D17=0,"",(E17+F17)/D17)</f>
        <v/>
      </c>
    </row>
    <row r="18">
      <c r="A18" s="7" t="inlineStr">
        <is>
          <t>TOTAL</t>
        </is>
      </c>
      <c r="B18" s="7" t="n"/>
      <c r="C18" s="7" t="n"/>
      <c r="D18" s="7">
        <f>SUM(D5:D17)</f>
        <v/>
      </c>
      <c r="E18" s="7">
        <f>SUM(E5:E17)</f>
        <v/>
      </c>
      <c r="F18" s="7">
        <f>SUM(F5:F17)</f>
        <v/>
      </c>
      <c r="G18" s="7">
        <f>SUM(G5:G17)</f>
        <v/>
      </c>
      <c r="H18" s="7">
        <f>SUM(H5:H17)</f>
        <v/>
      </c>
      <c r="I18" s="8">
        <f>IF(D18=0,"",E18/D18)</f>
        <v/>
      </c>
      <c r="J18" s="8">
        <f>IF(D18=0,"",(E18+F18)/D18)</f>
        <v/>
      </c>
    </row>
  </sheetData>
  <conditionalFormatting sqref="B5:B17">
    <cfRule type="expression" priority="1" dxfId="0">
      <formula>$B5="Selesai"</formula>
    </cfRule>
    <cfRule type="expression" priority="2" dxfId="1">
      <formula>$B5="Quality Check"</formula>
    </cfRule>
    <cfRule type="expression" priority="3" dxfId="2">
      <formula>$B5="Sedang Berjalan"</formula>
    </cfRule>
    <cfRule type="expression" priority="4" dxfId="3">
      <formula>$B5="Belum Dimulai"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AI142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13" customWidth="1" min="3" max="3"/>
    <col width="32" customWidth="1" min="4" max="4"/>
    <col width="15" customWidth="1" min="5" max="5"/>
    <col width="34" customWidth="1" min="6" max="6"/>
    <col width="40" customWidth="1" min="7" max="7"/>
    <col width="30" customWidth="1" min="8" max="8"/>
    <col width="52" customWidth="1" min="9" max="9"/>
    <col width="34" customWidth="1" min="10" max="10"/>
    <col width="32" customWidth="1" min="11" max="11"/>
    <col width="46" customWidth="1" min="12" max="12"/>
    <col width="42" customWidth="1" min="13" max="13"/>
    <col width="24" customWidth="1" min="14" max="14"/>
    <col width="46" customWidth="1" min="15" max="15"/>
    <col width="12" customWidth="1" min="16" max="16"/>
    <col width="12" customWidth="1" min="17" max="17"/>
    <col width="14" customWidth="1" min="18" max="18"/>
    <col width="12" customWidth="1" min="19" max="19"/>
    <col width="42" customWidth="1" min="20" max="20"/>
    <col width="12" customWidth="1" min="21" max="21"/>
    <col width="42" customWidth="1" min="22" max="22"/>
    <col width="16" customWidth="1" min="23" max="23"/>
    <col width="42" customWidth="1" min="24" max="24"/>
    <col width="12" customWidth="1" min="25" max="25"/>
    <col width="42" customWidth="1" min="26" max="26"/>
    <col width="16" customWidth="1" min="27" max="27"/>
    <col width="42" customWidth="1" min="28" max="28"/>
    <col width="12" customWidth="1" min="29" max="29"/>
    <col width="42" customWidth="1" min="30" max="30"/>
    <col width="16" customWidth="1" min="31" max="31"/>
    <col width="42" customWidth="1" min="32" max="32"/>
    <col width="12" customWidth="1" min="33" max="33"/>
    <col width="42" customWidth="1" min="34" max="34"/>
    <col width="16" customWidth="1" min="35" max="35"/>
  </cols>
  <sheetData>
    <row r="1" ht="22" customHeight="1">
      <c r="A1" s="9" t="inlineStr">
        <is>
          <t>FITUR &amp; HALAMAN</t>
        </is>
      </c>
      <c r="G1" s="9" t="inlineStr">
        <is>
          <t>DETAIL</t>
        </is>
      </c>
      <c r="P1" s="9" t="inlineStr">
        <is>
          <t>PELACAKAN</t>
        </is>
      </c>
      <c r="T1" s="11" t="inlineStr">
        <is>
          <t>ITERASI 1 · S.D. 22 AGU 2026 (HANYA PERBAIKAN BESAR)</t>
        </is>
      </c>
      <c r="X1" s="13" t="inlineStr">
        <is>
          <t>ITERASI 2 · 23–31 AGU 2026</t>
        </is>
      </c>
      <c r="AB1" s="11" t="inlineStr">
        <is>
          <t>ITERASI 3 · 1–6 SEP 2026 (MINGGU A)</t>
        </is>
      </c>
      <c r="AF1" s="13" t="inlineStr">
        <is>
          <t>ITERASI 4 · 7–13 SEP 2026 (MINGGU B)</t>
        </is>
      </c>
    </row>
    <row r="2" ht="32" customHeight="1">
      <c r="A2" s="15" t="inlineStr">
        <is>
          <t>No.</t>
        </is>
      </c>
      <c r="B2" s="15" t="inlineStr">
        <is>
          <t>Fitur</t>
        </is>
      </c>
      <c r="C2" s="15" t="inlineStr">
        <is>
          <t>Level</t>
        </is>
      </c>
      <c r="D2" s="15" t="inlineStr">
        <is>
          <t>Nama</t>
        </is>
      </c>
      <c r="E2" s="15" t="inlineStr">
        <is>
          <t>Status</t>
        </is>
      </c>
      <c r="F2" s="15" t="inlineStr">
        <is>
          <t>Alasan status (hasil inferensi)</t>
        </is>
      </c>
      <c r="G2" s="15" t="inlineStr">
        <is>
          <t>Link (saloka.id)</t>
        </is>
      </c>
      <c r="H2" s="15" t="inlineStr">
        <is>
          <t>Siapa yang bisa akses</t>
        </is>
      </c>
      <c r="I2" s="15" t="inlineStr">
        <is>
          <t>Fungsi</t>
        </is>
      </c>
      <c r="J2" s="15" t="inlineStr">
        <is>
          <t>Data yang ditampilkan / disimpan</t>
        </is>
      </c>
      <c r="K2" s="15" t="inlineStr">
        <is>
          <t>Tabel database</t>
        </is>
      </c>
      <c r="L2" s="15" t="inlineStr">
        <is>
          <t>Server action &amp; API endpoint</t>
        </is>
      </c>
      <c r="M2" s="15" t="inlineStr">
        <is>
          <t>File kode utama</t>
        </is>
      </c>
      <c r="N2" s="15" t="inlineStr">
        <is>
          <t>Roadmap Sept 2026</t>
        </is>
      </c>
      <c r="O2" s="15" t="inlineStr">
        <is>
          <t>Kekurangan / isu terbuka</t>
        </is>
      </c>
      <c r="P2" s="15" t="inlineStr">
        <is>
          <t>Pertama dibuat (git)</t>
        </is>
      </c>
      <c r="Q2" s="15" t="inlineStr">
        <is>
          <t>Terakhir diubah (git)</t>
        </is>
      </c>
      <c r="R2" s="15" t="inlineStr">
        <is>
          <t>PIC</t>
        </is>
      </c>
      <c r="S2" s="15" t="inlineStr">
        <is>
          <t>Target tanggal</t>
        </is>
      </c>
      <c r="T2" s="16" t="inlineStr">
        <is>
          <t>Bug ditemukan</t>
        </is>
      </c>
      <c r="U2" s="16" t="inlineStr">
        <is>
          <t>Tanggal ditemukan</t>
        </is>
      </c>
      <c r="V2" s="16" t="inlineStr">
        <is>
          <t>Perbaikan</t>
        </is>
      </c>
      <c r="W2" s="16" t="inlineStr">
        <is>
          <t>Tanggal perbaikan</t>
        </is>
      </c>
      <c r="X2" s="16" t="inlineStr">
        <is>
          <t>Bug ditemukan</t>
        </is>
      </c>
      <c r="Y2" s="16" t="inlineStr">
        <is>
          <t>Tanggal ditemukan</t>
        </is>
      </c>
      <c r="Z2" s="16" t="inlineStr">
        <is>
          <t>Perbaikan</t>
        </is>
      </c>
      <c r="AA2" s="16" t="inlineStr">
        <is>
          <t>Tanggal perbaikan</t>
        </is>
      </c>
      <c r="AB2" s="16" t="inlineStr">
        <is>
          <t>Bug ditemukan</t>
        </is>
      </c>
      <c r="AC2" s="16" t="inlineStr">
        <is>
          <t>Tanggal ditemukan</t>
        </is>
      </c>
      <c r="AD2" s="16" t="inlineStr">
        <is>
          <t>Perbaikan</t>
        </is>
      </c>
      <c r="AE2" s="16" t="inlineStr">
        <is>
          <t>Tanggal perbaikan</t>
        </is>
      </c>
      <c r="AF2" s="16" t="inlineStr">
        <is>
          <t>Bug ditemukan</t>
        </is>
      </c>
      <c r="AG2" s="16" t="inlineStr">
        <is>
          <t>Tanggal ditemukan</t>
        </is>
      </c>
      <c r="AH2" s="16" t="inlineStr">
        <is>
          <t>Perbaikan</t>
        </is>
      </c>
      <c r="AI2" s="16" t="inlineStr">
        <is>
          <t>Tanggal perbaikan</t>
        </is>
      </c>
    </row>
    <row r="3">
      <c r="A3" s="17" t="inlineStr">
        <is>
          <t>1</t>
        </is>
      </c>
      <c r="B3" s="17" t="inlineStr">
        <is>
          <t>Halaman Utama &amp; Pencarian</t>
        </is>
      </c>
      <c r="C3" s="17" t="inlineStr">
        <is>
          <t>Fitur</t>
        </is>
      </c>
      <c r="D3" s="17" t="inlineStr">
        <is>
          <t>Halaman Utama &amp; Pencarian</t>
        </is>
      </c>
      <c r="E3" s="17" t="inlineStr">
        <is>
          <t>Quality Check</t>
        </is>
      </c>
      <c r="F3" s="17" t="inlineStr">
        <is>
          <t>Berjalan dengan data asli; halaman utama diubah 13 Sep; penyempurnaan notifikasi masih ada di roadmap.</t>
        </is>
      </c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  <c r="AH3" s="17" t="n"/>
      <c r="AI3" s="17" t="n"/>
    </row>
    <row r="4" outlineLevel="1">
      <c r="A4" s="5" t="inlineStr">
        <is>
          <t>1.a</t>
        </is>
      </c>
      <c r="B4" s="5" t="inlineStr">
        <is>
          <t>Halaman Utama &amp; Pencarian</t>
        </is>
      </c>
      <c r="C4" s="5" t="inlineStr">
        <is>
          <t>Halaman</t>
        </is>
      </c>
      <c r="D4" s="18" t="inlineStr">
        <is>
          <t>Halaman Utama</t>
        </is>
      </c>
      <c r="E4" s="5" t="inlineStr">
        <is>
          <t>Quality Check</t>
        </is>
      </c>
      <c r="F4" s="5" t="inlineStr">
        <is>
          <t>Diubah 13 Sep; kartu komunitas contoh masih dipakai sebagai cadangan.</t>
        </is>
      </c>
      <c r="G4" s="19" t="inlineStr">
        <is>
          <t>https://saloka.id/</t>
        </is>
      </c>
      <c r="H4" s="5" t="inlineStr">
        <is>
          <t>Semua orang (publik)</t>
        </is>
      </c>
      <c r="I4" s="5" t="inlineStr">
        <is>
          <t>Halaman masuk utama: carousel banner promo, sorotan produk dan jasa, kartu komunitas, ikon aksi cepat.</t>
        </is>
      </c>
      <c r="J4" s="5" t="inlineStr">
        <is>
          <t>Banner promo aktif, produk, jasa, komunitas (dan komunitas yang sudah diikuti pengunjung)</t>
        </is>
      </c>
      <c r="K4" s="5" t="inlineStr">
        <is>
          <t>LandingBanner, Product, Service, Community, CommunityMembership, User</t>
        </is>
      </c>
      <c r="L4" s="5" t="inlineStr">
        <is>
          <t>landing.getActiveBanners; products.getProducts; services.getServicesAction; community.getIndukCommunities; auth.getCurrentUser</t>
        </is>
      </c>
      <c r="M4" s="5" t="inlineStr">
        <is>
          <t>src/app/page.tsx; src/app/components/HomeExplorer.tsx; src/app/components/BannerCarousel.tsx</t>
        </is>
      </c>
      <c r="N4" s="5" t="n"/>
      <c r="O4" s="5" t="inlineStr">
        <is>
          <t>Menampilkan 3 kartu komunitas contoh yang di-hardcode (comm-dummy-1..3) jika tidak ada komunitas yang termuat.</t>
        </is>
      </c>
      <c r="P4" s="5" t="inlineStr">
        <is>
          <t>2026-05-23</t>
        </is>
      </c>
      <c r="Q4" s="5" t="inlineStr">
        <is>
          <t>2026-09-13</t>
        </is>
      </c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</row>
    <row r="5" outlineLevel="1">
      <c r="A5" s="5" t="inlineStr">
        <is>
          <t>1.b</t>
        </is>
      </c>
      <c r="B5" s="5" t="inlineStr">
        <is>
          <t>Halaman Utama &amp; Pencarian</t>
        </is>
      </c>
      <c r="C5" s="5" t="inlineStr">
        <is>
          <t>Komponen</t>
        </is>
      </c>
      <c r="D5" s="18" t="inlineStr">
        <is>
          <t>Pencarian global (navbar)</t>
        </is>
      </c>
      <c r="E5" s="5" t="inlineStr">
        <is>
          <t>Selesai</t>
        </is>
      </c>
      <c r="F5" s="5" t="inlineStr">
        <is>
          <t>Data asli; dirilis 25–31 Agu; tidak ada perbaikan bug sejak itu.</t>
        </is>
      </c>
      <c r="G5" s="5" t="inlineStr">
        <is>
          <t>Navbar di setiap halaman → /market?q=… , /jasa?search=…</t>
        </is>
      </c>
      <c r="H5" s="5" t="inlineStr">
        <is>
          <t>Semua orang</t>
        </is>
      </c>
      <c r="I5" s="5" t="inlineStr">
        <is>
          <t>Pencarian instan dengan autocomplete untuk produk, jasa, dan komunitas, dengan rekomendasi jika tidak ada hasil.</t>
        </is>
      </c>
      <c r="J5" s="5" t="inlineStr">
        <is>
          <t>Produk, jasa, komunitas yang cocok dengan kata kunci</t>
        </is>
      </c>
      <c r="K5" s="5" t="inlineStr">
        <is>
          <t>Product, Service, Community</t>
        </is>
      </c>
      <c r="L5" s="5" t="inlineStr">
        <is>
          <t>search.searchGlobalAction</t>
        </is>
      </c>
      <c r="M5" s="5" t="inlineStr">
        <is>
          <t>src/app/actions/search.ts; src/app/components/HeaderNavigation.tsx</t>
        </is>
      </c>
      <c r="N5" s="5" t="n"/>
      <c r="O5" s="5" t="n"/>
      <c r="P5" s="5" t="inlineStr">
        <is>
          <t>2026-08-29</t>
        </is>
      </c>
      <c r="Q5" s="5" t="inlineStr">
        <is>
          <t>2026-08-29</t>
        </is>
      </c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</row>
    <row r="6" outlineLevel="1">
      <c r="A6" s="5" t="inlineStr">
        <is>
          <t>1.c</t>
        </is>
      </c>
      <c r="B6" s="5" t="inlineStr">
        <is>
          <t>Halaman Utama &amp; Pencarian</t>
        </is>
      </c>
      <c r="C6" s="5" t="inlineStr">
        <is>
          <t>Komponen</t>
        </is>
      </c>
      <c r="D6" s="18" t="inlineStr">
        <is>
          <t>Lonceng notifikasi</t>
        </is>
      </c>
      <c r="E6" s="5" t="inlineStr">
        <is>
          <t>Quality Check</t>
        </is>
      </c>
      <c r="F6" s="5" t="inlineStr">
        <is>
          <t>Berjalan dengan data asli; roadmap Minggu B masih mencantumkan penyempurnaan notifikasi.</t>
        </is>
      </c>
      <c r="G6" s="5" t="inlineStr">
        <is>
          <t>Navbar (setelah login)</t>
        </is>
      </c>
      <c r="H6" s="5" t="inlineStr">
        <is>
          <t>Pengguna yang sudah login</t>
        </is>
      </c>
      <c r="I6" s="5" t="inlineStr">
        <is>
          <t>Notifikasi dalam aplikasi (update pesanan, aktivitas komunitas, balasan).</t>
        </is>
      </c>
      <c r="J6" s="5" t="inlineStr">
        <is>
          <t>Notifikasi per pengguna, sudah/belum dibaca</t>
        </is>
      </c>
      <c r="K6" s="5" t="inlineStr">
        <is>
          <t>Notification</t>
        </is>
      </c>
      <c r="L6" s="5" t="inlineStr">
        <is>
          <t>GET/POST /api/notifications</t>
        </is>
      </c>
      <c r="M6" s="5" t="inlineStr">
        <is>
          <t>src/app/components/NotificationBell.tsx; src/app/api/notifications/route.ts</t>
        </is>
      </c>
      <c r="N6" s="5" t="inlineStr">
        <is>
          <t>Minggu B: menyempurnakan sistem notifikasi</t>
        </is>
      </c>
      <c r="O6" s="5" t="n"/>
      <c r="P6" s="5" t="inlineStr">
        <is>
          <t>2026-05-31</t>
        </is>
      </c>
      <c r="Q6" s="5" t="inlineStr">
        <is>
          <t>2026-08-29</t>
        </is>
      </c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</row>
    <row r="7">
      <c r="A7" s="17" t="inlineStr">
        <is>
          <t>2</t>
        </is>
      </c>
      <c r="B7" s="17" t="inlineStr">
        <is>
          <t>Akun &amp; Identitas</t>
        </is>
      </c>
      <c r="C7" s="17" t="inlineStr">
        <is>
          <t>Fitur</t>
        </is>
      </c>
      <c r="D7" s="17" t="inlineStr">
        <is>
          <t>Akun &amp; Identitas</t>
        </is>
      </c>
      <c r="E7" s="17" t="inlineStr">
        <is>
          <t>Quality Check</t>
        </is>
      </c>
      <c r="F7" s="17" t="inlineStr">
        <is>
          <t>Keamanan login dan atribusi referral dibangun ulang 13 Sep; KYC masih punya jalur uji coba/bypass.</t>
        </is>
      </c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</row>
    <row r="8" outlineLevel="1">
      <c r="A8" s="5" t="inlineStr">
        <is>
          <t>2.a</t>
        </is>
      </c>
      <c r="B8" s="5" t="inlineStr">
        <is>
          <t>Akun &amp; Identitas</t>
        </is>
      </c>
      <c r="C8" s="5" t="inlineStr">
        <is>
          <t>Halaman</t>
        </is>
      </c>
      <c r="D8" s="18" t="inlineStr">
        <is>
          <t>Login &amp; Daftar</t>
        </is>
      </c>
      <c r="E8" s="5" t="inlineStr">
        <is>
          <t>Quality Check</t>
        </is>
      </c>
      <c r="F8" s="5" t="inlineStr">
        <is>
          <t>Rate limiting dibangun ulang 13 Sep; perlu diuji ulang.</t>
        </is>
      </c>
      <c r="G8" s="19" t="inlineStr">
        <is>
          <t>https://saloka.id/auth?tab=login</t>
        </is>
      </c>
      <c r="H8" s="5" t="inlineStr">
        <is>
          <t>Semua orang</t>
        </is>
      </c>
      <c r="I8" s="5" t="inlineStr">
        <is>
          <t>Login &amp; pendaftaran dengan email/password (password di-hash bcrypt), login Google, percobaan login dibatasi (rate limit); logout menghapus cookie sesi di semua domain Saloka.</t>
        </is>
      </c>
      <c r="J8" s="5" t="inlineStr">
        <is>
          <t>Kredensial akun, cookie sesi, percobaan login gagal</t>
        </is>
      </c>
      <c r="K8" s="5" t="inlineStr">
        <is>
          <t>User, Wallet, RateLimitAttempt, AuditLog</t>
        </is>
      </c>
      <c r="L8" s="5" t="inlineStr">
        <is>
          <t>auth.login / register / logout; /api/auth/google/callback; /api/auth/check-username; /api/auth/logout; /api/auth/clear-cookies</t>
        </is>
      </c>
      <c r="M8" s="5" t="inlineStr">
        <is>
          <t>src/app/auth/page.tsx; src/components/AuthForm.tsx; src/app/actions/auth.ts; src/lib/rate-limit.ts</t>
        </is>
      </c>
      <c r="N8" s="5" t="inlineStr">
        <is>
          <t>Jalur paralel: Sistem Verifikasi, ISO 27001</t>
        </is>
      </c>
      <c r="O8" s="5" t="n"/>
      <c r="P8" s="5" t="inlineStr">
        <is>
          <t>2026-05-30</t>
        </is>
      </c>
      <c r="Q8" s="5" t="inlineStr">
        <is>
          <t>2026-09-13</t>
        </is>
      </c>
      <c r="R8" s="5" t="n"/>
      <c r="S8" s="5" t="n"/>
      <c r="T8" s="5" t="inlineStr">
        <is>
          <t>Logout meninggalkan cookie sesi di domain Saloka lain (pengguna tetap login)</t>
        </is>
      </c>
      <c r="U8" s="5" t="inlineStr">
        <is>
          <t>—</t>
        </is>
      </c>
      <c r="V8" s="5" t="inlineStr">
        <is>
          <t>Route logout menghapus cookie di semua domain (15dc8d4, ce7be98, fcf422c)</t>
        </is>
      </c>
      <c r="W8" s="5" t="inlineStr">
        <is>
          <t>2026-07-22</t>
        </is>
      </c>
      <c r="X8" s="5" t="n"/>
      <c r="Y8" s="5" t="n"/>
      <c r="Z8" s="5" t="n"/>
      <c r="AA8" s="5" t="n"/>
      <c r="AB8" s="5" t="n"/>
      <c r="AC8" s="5" t="n"/>
      <c r="AD8" s="5" t="n"/>
      <c r="AE8" s="5" t="n"/>
      <c r="AF8" s="5" t="inlineStr">
        <is>
          <t>Rate limit login ter-reset per instance server (risiko brute-force)</t>
        </is>
      </c>
      <c r="AG8" s="5" t="inlineStr">
        <is>
          <t>—</t>
        </is>
      </c>
      <c r="AH8" s="5" t="inlineStr">
        <is>
          <t>Rate limiting disimpan di database (1c4c28b)</t>
        </is>
      </c>
      <c r="AI8" s="5" t="inlineStr">
        <is>
          <t>2026-09-13</t>
        </is>
      </c>
    </row>
    <row r="9" outlineLevel="1">
      <c r="A9" s="5" t="inlineStr">
        <is>
          <t>2.b</t>
        </is>
      </c>
      <c r="B9" s="5" t="inlineStr">
        <is>
          <t>Akun &amp; Identitas</t>
        </is>
      </c>
      <c r="C9" s="5" t="inlineStr">
        <is>
          <t>Halaman</t>
        </is>
      </c>
      <c r="D9" s="18" t="inlineStr">
        <is>
          <t>Pilih peran akun</t>
        </is>
      </c>
      <c r="E9" s="5" t="inlineStr">
        <is>
          <t>Selesai</t>
        </is>
      </c>
      <c r="F9" s="5" t="inlineStr">
        <is>
          <t>Tidak berubah sejak 18 Jul; tidak ditemukan masalah terbuka di kode.</t>
        </is>
      </c>
      <c r="G9" s="19" t="inlineStr">
        <is>
          <t>https://saloka.id/auth/select-role</t>
        </is>
      </c>
      <c r="H9" s="5" t="inlineStr">
        <is>
          <t>Pengguna yang baru mendaftar</t>
        </is>
      </c>
      <c r="I9" s="5" t="inlineStr">
        <is>
          <t>Memilih jenis akun setelah mendaftar.</t>
        </is>
      </c>
      <c r="J9" s="5" t="inlineStr">
        <is>
          <t>Peran pengguna</t>
        </is>
      </c>
      <c r="K9" s="5" t="inlineStr">
        <is>
          <t>User</t>
        </is>
      </c>
      <c r="L9" s="5" t="inlineStr">
        <is>
          <t>auth.selectUserRole</t>
        </is>
      </c>
      <c r="M9" s="5" t="inlineStr">
        <is>
          <t>src/app/auth/select-role/page.tsx</t>
        </is>
      </c>
      <c r="N9" s="5" t="n"/>
      <c r="O9" s="5" t="n"/>
      <c r="P9" s="5" t="inlineStr">
        <is>
          <t>2026-07-18</t>
        </is>
      </c>
      <c r="Q9" s="5" t="inlineStr">
        <is>
          <t>2026-07-18</t>
        </is>
      </c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</row>
    <row r="10" outlineLevel="1">
      <c r="A10" s="5" t="inlineStr">
        <is>
          <t>2.c</t>
        </is>
      </c>
      <c r="B10" s="5" t="inlineStr">
        <is>
          <t>Akun &amp; Identitas</t>
        </is>
      </c>
      <c r="C10" s="5" t="inlineStr">
        <is>
          <t>Halaman</t>
        </is>
      </c>
      <c r="D10" s="18" t="inlineStr">
        <is>
          <t>Lupa password</t>
        </is>
      </c>
      <c r="E10" s="5" t="inlineStr">
        <is>
          <t>Quality Check</t>
        </is>
      </c>
      <c r="F10" s="5" t="inlineStr">
        <is>
          <t>Dibuat 1 Sep; belum ada catatan QA.</t>
        </is>
      </c>
      <c r="G10" s="19" t="inlineStr">
        <is>
          <t>https://saloka.id/forgot-password</t>
        </is>
      </c>
      <c r="H10" s="5" t="inlineStr">
        <is>
          <t>Semua orang</t>
        </is>
      </c>
      <c r="I10" s="5" t="inlineStr">
        <is>
          <t>Reset password dengan kode sekali pakai.</t>
        </is>
      </c>
      <c r="J10" s="5" t="inlineStr">
        <is>
          <t>Kode reset, hash password baru</t>
        </is>
      </c>
      <c r="K10" s="5" t="inlineStr">
        <is>
          <t>User</t>
        </is>
      </c>
      <c r="L10" s="5" t="inlineStr">
        <is>
          <t>auth.requestPasswordReset; auth.resetPasswordWithOtp</t>
        </is>
      </c>
      <c r="M10" s="5" t="inlineStr">
        <is>
          <t>src/app/forgot-password/page.tsx</t>
        </is>
      </c>
      <c r="N10" s="5" t="n"/>
      <c r="O10" s="5" t="n"/>
      <c r="P10" s="5" t="inlineStr">
        <is>
          <t>2026-09-01</t>
        </is>
      </c>
      <c r="Q10" s="5" t="inlineStr">
        <is>
          <t>2026-09-01</t>
        </is>
      </c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</row>
    <row r="11" outlineLevel="1">
      <c r="A11" s="5" t="inlineStr">
        <is>
          <t>2.d</t>
        </is>
      </c>
      <c r="B11" s="5" t="inlineStr">
        <is>
          <t>Akun &amp; Identitas</t>
        </is>
      </c>
      <c r="C11" s="5" t="inlineStr">
        <is>
          <t>Halaman</t>
        </is>
      </c>
      <c r="D11" s="18" t="inlineStr">
        <is>
          <t>Onboarding</t>
        </is>
      </c>
      <c r="E11" s="5" t="inlineStr">
        <is>
          <t>Quality Check</t>
        </is>
      </c>
      <c r="F11" s="5" t="inlineStr">
        <is>
          <t>Terakhir diubah 1 Sep; belum ada catatan QA.</t>
        </is>
      </c>
      <c r="G11" s="19" t="inlineStr">
        <is>
          <t>https://saloka.id/onboarding</t>
        </is>
      </c>
      <c r="H11" s="5" t="inlineStr">
        <is>
          <t>Pengguna yang sudah login tetapi belum menyelesaikan pengaturan awal</t>
        </is>
      </c>
      <c r="I11" s="5" t="inlineStr">
        <is>
          <t>Pengaturan bertahap: verifikasi nomor HP/email dengan OTP, tambah alamat, buat subdomain toko (merchant).</t>
        </is>
      </c>
      <c r="J11" s="5" t="inlineStr">
        <is>
          <t>Verifikasi HP &amp; email, alamat, subdomain</t>
        </is>
      </c>
      <c r="K11" s="5" t="inlineStr">
        <is>
          <t>User</t>
        </is>
      </c>
      <c r="L11" s="5" t="inlineStr">
        <is>
          <t>auth.saveOnboardingData, checkSubdomainAvailability, sendPhoneVerificationOtp, verifyPhoneOtp, sendEmailVerificationOtp, verifyEmailOtp, checkWhatsAppUnique</t>
        </is>
      </c>
      <c r="M11" s="5" t="inlineStr">
        <is>
          <t>src/app/onboarding/page.tsx; src/app/components/OnboardingGuard.tsx</t>
        </is>
      </c>
      <c r="N11" s="5" t="n"/>
      <c r="O11" s="5" t="n"/>
      <c r="P11" s="5" t="inlineStr">
        <is>
          <t>2026-06-07</t>
        </is>
      </c>
      <c r="Q11" s="5" t="inlineStr">
        <is>
          <t>2026-09-01</t>
        </is>
      </c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</row>
    <row r="12" outlineLevel="1">
      <c r="A12" s="5" t="inlineStr">
        <is>
          <t>2.e</t>
        </is>
      </c>
      <c r="B12" s="5" t="inlineStr">
        <is>
          <t>Akun &amp; Identitas</t>
        </is>
      </c>
      <c r="C12" s="5" t="inlineStr">
        <is>
          <t>Halaman</t>
        </is>
      </c>
      <c r="D12" s="18" t="inlineStr">
        <is>
          <t>Pengaturan akun</t>
        </is>
      </c>
      <c r="E12" s="5" t="inlineStr">
        <is>
          <t>Quality Check</t>
        </is>
      </c>
      <c r="F12" s="5" t="inlineStr">
        <is>
          <t>Diubah 9 Sep.</t>
        </is>
      </c>
      <c r="G12" s="19" t="inlineStr">
        <is>
          <t>https://saloka.id/settings</t>
        </is>
      </c>
      <c r="H12" s="5" t="inlineStr">
        <is>
          <t>Pengguna yang sudah login</t>
        </is>
      </c>
      <c r="I12" s="5" t="inlineStr">
        <is>
          <t>Pusat pengaturan akun dengan 8 tab (di bawah).</t>
        </is>
      </c>
      <c r="J12" s="5" t="inlineStr">
        <is>
          <t>Profil, keamanan, KYC, referral, alamat, WhatsApp gateway, preferensi notifikasi &amp; tampilan</t>
        </is>
      </c>
      <c r="K12" s="5" t="inlineStr">
        <is>
          <t>User, Wallet</t>
        </is>
      </c>
      <c r="L12" s="5" t="inlineStr">
        <is>
          <t>auth.updateUsernameAction, getReferralInfo; wallet-affiliate.updateUserSettingsAction, getWaLogsAction; /api/kyc/didit, /api/kyc/status, /api/kyc/simulate; /api/upload</t>
        </is>
      </c>
      <c r="M12" s="5" t="inlineStr">
        <is>
          <t>src/app/settings/page.tsx</t>
        </is>
      </c>
      <c r="N12" s="5" t="n"/>
      <c r="O12" s="5" t="n"/>
      <c r="P12" s="5" t="inlineStr">
        <is>
          <t>2026-06-09</t>
        </is>
      </c>
      <c r="Q12" s="5" t="inlineStr">
        <is>
          <t>2026-09-09</t>
        </is>
      </c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</row>
    <row r="13" outlineLevel="2">
      <c r="A13" s="20" t="inlineStr">
        <is>
          <t>2.e.i</t>
        </is>
      </c>
      <c r="B13" s="20" t="inlineStr">
        <is>
          <t>Akun &amp; Identitas</t>
        </is>
      </c>
      <c r="C13" s="20" t="inlineStr">
        <is>
          <t>Tab</t>
        </is>
      </c>
      <c r="D13" s="21" t="inlineStr">
        <is>
          <t>Profil &amp; Biodata</t>
        </is>
      </c>
      <c r="E13" s="20" t="inlineStr">
        <is>
          <t>Quality Check</t>
        </is>
      </c>
      <c r="F13" s="20" t="inlineStr">
        <is>
          <t>Bagian dari Pengaturan akun (diubah 9 Sep).</t>
        </is>
      </c>
      <c r="G13" s="19" t="inlineStr">
        <is>
          <t>https://saloka.id/settings (tab dipilih di dalam halaman)</t>
        </is>
      </c>
      <c r="H13" s="20" t="inlineStr">
        <is>
          <t>Pengguna yang sudah login</t>
        </is>
      </c>
      <c r="I13" s="20" t="inlineStr">
        <is>
          <t>Nama, foto (upload), dan bio.</t>
        </is>
      </c>
      <c r="J13" s="20" t="n"/>
      <c r="K13" s="20" t="n"/>
      <c r="L13" s="20" t="n"/>
      <c r="M13" s="20" t="inlineStr">
        <is>
          <t>src/app/settings/page.tsx</t>
        </is>
      </c>
      <c r="N13" s="20" t="n"/>
      <c r="O13" s="20" t="n"/>
      <c r="P13" s="20" t="inlineStr">
        <is>
          <t>2026-06-09</t>
        </is>
      </c>
      <c r="Q13" s="20" t="inlineStr">
        <is>
          <t>2026-09-09</t>
        </is>
      </c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0" t="n"/>
      <c r="AI13" s="20" t="n"/>
    </row>
    <row r="14" outlineLevel="2">
      <c r="A14" s="20" t="inlineStr">
        <is>
          <t>2.e.ii</t>
        </is>
      </c>
      <c r="B14" s="20" t="inlineStr">
        <is>
          <t>Akun &amp; Identitas</t>
        </is>
      </c>
      <c r="C14" s="20" t="inlineStr">
        <is>
          <t>Tab</t>
        </is>
      </c>
      <c r="D14" s="21" t="inlineStr">
        <is>
          <t>Akun &amp; Keamanan</t>
        </is>
      </c>
      <c r="E14" s="20" t="inlineStr">
        <is>
          <t>Quality Check</t>
        </is>
      </c>
      <c r="F14" s="20" t="inlineStr">
        <is>
          <t>Bagian dari Pengaturan akun (diubah 9 Sep).</t>
        </is>
      </c>
      <c r="G14" s="19" t="inlineStr">
        <is>
          <t>https://saloka.id/settings (tab dipilih di dalam halaman)</t>
        </is>
      </c>
      <c r="H14" s="20" t="inlineStr">
        <is>
          <t>Pengguna yang sudah login</t>
        </is>
      </c>
      <c r="I14" s="20" t="inlineStr">
        <is>
          <t>Username, password, nomor HP, dan email.</t>
        </is>
      </c>
      <c r="J14" s="20" t="n"/>
      <c r="K14" s="20" t="n"/>
      <c r="L14" s="20" t="n"/>
      <c r="M14" s="20" t="inlineStr">
        <is>
          <t>src/app/settings/page.tsx</t>
        </is>
      </c>
      <c r="N14" s="20" t="n"/>
      <c r="O14" s="20" t="n"/>
      <c r="P14" s="20" t="inlineStr">
        <is>
          <t>2026-06-09</t>
        </is>
      </c>
      <c r="Q14" s="20" t="inlineStr">
        <is>
          <t>2026-09-09</t>
        </is>
      </c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</row>
    <row r="15" outlineLevel="2">
      <c r="A15" s="20" t="inlineStr">
        <is>
          <t>2.e.iii</t>
        </is>
      </c>
      <c r="B15" s="20" t="inlineStr">
        <is>
          <t>Akun &amp; Identitas</t>
        </is>
      </c>
      <c r="C15" s="20" t="inlineStr">
        <is>
          <t>Tab</t>
        </is>
      </c>
      <c r="D15" s="21" t="inlineStr">
        <is>
          <t>Verifikasi Identitas (KYC)</t>
        </is>
      </c>
      <c r="E15" s="20" t="inlineStr">
        <is>
          <t>Quality Check</t>
        </is>
      </c>
      <c r="F15" s="20" t="inlineStr">
        <is>
          <t>Bagian dari Pengaturan akun (diubah 9 Sep).</t>
        </is>
      </c>
      <c r="G15" s="19" t="inlineStr">
        <is>
          <t>https://saloka.id/settings (tab dipilih di dalam halaman)</t>
        </is>
      </c>
      <c r="H15" s="20" t="inlineStr">
        <is>
          <t>Pengguna yang sudah login</t>
        </is>
      </c>
      <c r="I15" s="20" t="inlineStr">
        <is>
          <t>Memulai verifikasi identitas dengan Didit dan melihat statusnya.</t>
        </is>
      </c>
      <c r="J15" s="20" t="n"/>
      <c r="K15" s="20" t="n"/>
      <c r="L15" s="20" t="n"/>
      <c r="M15" s="20" t="inlineStr">
        <is>
          <t>src/app/settings/page.tsx</t>
        </is>
      </c>
      <c r="N15" s="20" t="n"/>
      <c r="O15" s="20" t="inlineStr">
        <is>
          <t>Pemanggilan KYC “simulate” masih terpasang di halaman ini (/api/kyc/simulate).</t>
        </is>
      </c>
      <c r="P15" s="20" t="inlineStr">
        <is>
          <t>2026-06-09</t>
        </is>
      </c>
      <c r="Q15" s="20" t="inlineStr">
        <is>
          <t>2026-09-09</t>
        </is>
      </c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</row>
    <row r="16" outlineLevel="2">
      <c r="A16" s="20" t="inlineStr">
        <is>
          <t>2.e.iv</t>
        </is>
      </c>
      <c r="B16" s="20" t="inlineStr">
        <is>
          <t>Akun &amp; Identitas</t>
        </is>
      </c>
      <c r="C16" s="20" t="inlineStr">
        <is>
          <t>Tab</t>
        </is>
      </c>
      <c r="D16" s="21" t="inlineStr">
        <is>
          <t>Referral &amp; Coin</t>
        </is>
      </c>
      <c r="E16" s="20" t="inlineStr">
        <is>
          <t>Quality Check</t>
        </is>
      </c>
      <c r="F16" s="20" t="inlineStr">
        <is>
          <t>Bagian dari Pengaturan akun (diubah 9 Sep).</t>
        </is>
      </c>
      <c r="G16" s="19" t="inlineStr">
        <is>
          <t>https://saloka.id/settings (tab dipilih di dalam halaman)</t>
        </is>
      </c>
      <c r="H16" s="20" t="inlineStr">
        <is>
          <t>Pengguna yang sudah login</t>
        </is>
      </c>
      <c r="I16" s="20" t="inlineStr">
        <is>
          <t>Link referral pribadi dan ringkasan koin.</t>
        </is>
      </c>
      <c r="J16" s="20" t="n"/>
      <c r="K16" s="20" t="n"/>
      <c r="L16" s="20" t="n"/>
      <c r="M16" s="20" t="inlineStr">
        <is>
          <t>src/app/settings/page.tsx</t>
        </is>
      </c>
      <c r="N16" s="20" t="n"/>
      <c r="O16" s="20" t="n"/>
      <c r="P16" s="20" t="inlineStr">
        <is>
          <t>2026-06-09</t>
        </is>
      </c>
      <c r="Q16" s="20" t="inlineStr">
        <is>
          <t>2026-09-09</t>
        </is>
      </c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</row>
    <row r="17" outlineLevel="2">
      <c r="A17" s="20" t="inlineStr">
        <is>
          <t>2.e.v</t>
        </is>
      </c>
      <c r="B17" s="20" t="inlineStr">
        <is>
          <t>Akun &amp; Identitas</t>
        </is>
      </c>
      <c r="C17" s="20" t="inlineStr">
        <is>
          <t>Tab</t>
        </is>
      </c>
      <c r="D17" s="21" t="inlineStr">
        <is>
          <t>Buku Alamat</t>
        </is>
      </c>
      <c r="E17" s="20" t="inlineStr">
        <is>
          <t>Quality Check</t>
        </is>
      </c>
      <c r="F17" s="20" t="inlineStr">
        <is>
          <t>Bagian dari Pengaturan akun (diubah 9 Sep).</t>
        </is>
      </c>
      <c r="G17" s="19" t="inlineStr">
        <is>
          <t>https://saloka.id/settings (tab dipilih di dalam halaman)</t>
        </is>
      </c>
      <c r="H17" s="20" t="inlineStr">
        <is>
          <t>Pengguna yang sudah login</t>
        </is>
      </c>
      <c r="I17" s="20" t="inlineStr">
        <is>
          <t>Alamat pengiriman yang tersimpan.</t>
        </is>
      </c>
      <c r="J17" s="20" t="n"/>
      <c r="K17" s="20" t="n"/>
      <c r="L17" s="20" t="n"/>
      <c r="M17" s="20" t="inlineStr">
        <is>
          <t>src/app/settings/page.tsx</t>
        </is>
      </c>
      <c r="N17" s="20" t="n"/>
      <c r="O17" s="20" t="n"/>
      <c r="P17" s="20" t="inlineStr">
        <is>
          <t>2026-06-09</t>
        </is>
      </c>
      <c r="Q17" s="20" t="inlineStr">
        <is>
          <t>2026-09-09</t>
        </is>
      </c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  <c r="AI17" s="20" t="n"/>
    </row>
    <row r="18" outlineLevel="2">
      <c r="A18" s="20" t="inlineStr">
        <is>
          <t>2.e.vi</t>
        </is>
      </c>
      <c r="B18" s="20" t="inlineStr">
        <is>
          <t>Akun &amp; Identitas</t>
        </is>
      </c>
      <c r="C18" s="20" t="inlineStr">
        <is>
          <t>Tab</t>
        </is>
      </c>
      <c r="D18" s="21" t="inlineStr">
        <is>
          <t>Integrasi &amp; WA Gateway</t>
        </is>
      </c>
      <c r="E18" s="20" t="inlineStr">
        <is>
          <t>Quality Check</t>
        </is>
      </c>
      <c r="F18" s="20" t="inlineStr">
        <is>
          <t>Bagian dari Pengaturan akun (diubah 9 Sep).</t>
        </is>
      </c>
      <c r="G18" s="19" t="inlineStr">
        <is>
          <t>https://saloka.id/settings (tab dipilih di dalam halaman)</t>
        </is>
      </c>
      <c r="H18" s="20" t="inlineStr">
        <is>
          <t>Pengguna yang sudah login</t>
        </is>
      </c>
      <c r="I18" s="20" t="inlineStr">
        <is>
          <t>Pengaturan WhatsApp gateway dan log pesan.</t>
        </is>
      </c>
      <c r="J18" s="20" t="n"/>
      <c r="K18" s="20" t="n"/>
      <c r="L18" s="20" t="n"/>
      <c r="M18" s="20" t="inlineStr">
        <is>
          <t>src/app/settings/page.tsx</t>
        </is>
      </c>
      <c r="N18" s="20" t="n"/>
      <c r="O18" s="20" t="n"/>
      <c r="P18" s="20" t="inlineStr">
        <is>
          <t>2026-06-09</t>
        </is>
      </c>
      <c r="Q18" s="20" t="inlineStr">
        <is>
          <t>2026-09-09</t>
        </is>
      </c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</row>
    <row r="19" outlineLevel="2">
      <c r="A19" s="20" t="inlineStr">
        <is>
          <t>2.e.vii</t>
        </is>
      </c>
      <c r="B19" s="20" t="inlineStr">
        <is>
          <t>Akun &amp; Identitas</t>
        </is>
      </c>
      <c r="C19" s="20" t="inlineStr">
        <is>
          <t>Tab</t>
        </is>
      </c>
      <c r="D19" s="21" t="inlineStr">
        <is>
          <t>Notifikasi</t>
        </is>
      </c>
      <c r="E19" s="20" t="inlineStr">
        <is>
          <t>Quality Check</t>
        </is>
      </c>
      <c r="F19" s="20" t="inlineStr">
        <is>
          <t>Bagian dari Pengaturan akun (diubah 9 Sep).</t>
        </is>
      </c>
      <c r="G19" s="19" t="inlineStr">
        <is>
          <t>https://saloka.id/settings (tab dipilih di dalam halaman)</t>
        </is>
      </c>
      <c r="H19" s="20" t="inlineStr">
        <is>
          <t>Pengguna yang sudah login</t>
        </is>
      </c>
      <c r="I19" s="20" t="inlineStr">
        <is>
          <t>Notifikasi apa saja yang diterima pengguna.</t>
        </is>
      </c>
      <c r="J19" s="20" t="n"/>
      <c r="K19" s="20" t="n"/>
      <c r="L19" s="20" t="n"/>
      <c r="M19" s="20" t="inlineStr">
        <is>
          <t>src/app/settings/page.tsx</t>
        </is>
      </c>
      <c r="N19" s="20" t="n"/>
      <c r="O19" s="20" t="n"/>
      <c r="P19" s="20" t="inlineStr">
        <is>
          <t>2026-06-09</t>
        </is>
      </c>
      <c r="Q19" s="20" t="inlineStr">
        <is>
          <t>2026-09-09</t>
        </is>
      </c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20" t="n"/>
      <c r="AH19" s="20" t="n"/>
      <c r="AI19" s="20" t="n"/>
    </row>
    <row r="20" outlineLevel="2">
      <c r="A20" s="20" t="inlineStr">
        <is>
          <t>2.e.viii</t>
        </is>
      </c>
      <c r="B20" s="20" t="inlineStr">
        <is>
          <t>Akun &amp; Identitas</t>
        </is>
      </c>
      <c r="C20" s="20" t="inlineStr">
        <is>
          <t>Tab</t>
        </is>
      </c>
      <c r="D20" s="21" t="inlineStr">
        <is>
          <t>Preferensi Tampilan</t>
        </is>
      </c>
      <c r="E20" s="20" t="inlineStr">
        <is>
          <t>Quality Check</t>
        </is>
      </c>
      <c r="F20" s="20" t="inlineStr">
        <is>
          <t>Bagian dari Pengaturan akun (diubah 9 Sep).</t>
        </is>
      </c>
      <c r="G20" s="19" t="inlineStr">
        <is>
          <t>https://saloka.id/settings (tab dipilih di dalam halaman)</t>
        </is>
      </c>
      <c r="H20" s="20" t="inlineStr">
        <is>
          <t>Pengguna yang sudah login</t>
        </is>
      </c>
      <c r="I20" s="20" t="inlineStr">
        <is>
          <t>Preferensi tampilan.</t>
        </is>
      </c>
      <c r="J20" s="20" t="n"/>
      <c r="K20" s="20" t="n"/>
      <c r="L20" s="20" t="n"/>
      <c r="M20" s="20" t="inlineStr">
        <is>
          <t>src/app/settings/page.tsx</t>
        </is>
      </c>
      <c r="N20" s="20" t="n"/>
      <c r="O20" s="20" t="n"/>
      <c r="P20" s="20" t="inlineStr">
        <is>
          <t>2026-06-09</t>
        </is>
      </c>
      <c r="Q20" s="20" t="inlineStr">
        <is>
          <t>2026-09-09</t>
        </is>
      </c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  <c r="AI20" s="20" t="n"/>
    </row>
    <row r="21" outlineLevel="1">
      <c r="A21" s="5" t="inlineStr">
        <is>
          <t>2.f</t>
        </is>
      </c>
      <c r="B21" s="5" t="inlineStr">
        <is>
          <t>Akun &amp; Identitas</t>
        </is>
      </c>
      <c r="C21" s="5" t="inlineStr">
        <is>
          <t>Halaman</t>
        </is>
      </c>
      <c r="D21" s="18" t="inlineStr">
        <is>
          <t>Profil publik</t>
        </is>
      </c>
      <c r="E21" s="5" t="inlineStr">
        <is>
          <t>Quality Check</t>
        </is>
      </c>
      <c r="F21" s="5" t="inlineStr">
        <is>
          <t>Stabil sejak 29 Agu, tetapi ada tombol bypass KYC untuk uji coba di sini.</t>
        </is>
      </c>
      <c r="G21" s="5" t="inlineStr">
        <is>
          <t>https://saloka.id/profile/[user-id]</t>
        </is>
      </c>
      <c r="H21" s="5" t="inlineStr">
        <is>
          <t>Semua orang (pemilik melihat lebih banyak)</t>
        </is>
      </c>
      <c r="I21" s="5" t="inlineStr">
        <is>
          <t>Profil publik / mini storefront: produk, keanggotaan komunitas, total komisi, tombol kontak &amp; bagikan. Link referral mengarah ke sini.</t>
        </is>
      </c>
      <c r="J21" s="5" t="inlineStr">
        <is>
          <t>Profil, produk, komunitas &amp; peran, statistik affiliate, ringkasan wallet (pemilik)</t>
        </is>
      </c>
      <c r="K21" s="5" t="inlineStr">
        <is>
          <t>User, Order, Wallet, AffiliateReferral, CommunityMembership</t>
        </is>
      </c>
      <c r="L21" s="5" t="inlineStr">
        <is>
          <t>DataStore.getUserCommunitiesWithRoles, getAffiliateStats, getWalletByUserId; /api/kyc/didit</t>
        </is>
      </c>
      <c r="M21" s="5" t="inlineStr">
        <is>
          <t>src/app/profile/[id]/page.tsx; src/app/profile/[id]/ProfileViewerClient.tsx</t>
        </is>
      </c>
      <c r="N21" s="5" t="n"/>
      <c r="O21" s="5" t="inlineStr">
        <is>
          <t>Tombol bypass KYC ditambahkan untuk uji coba (18 Jul): pastikan tersembunyi di production.</t>
        </is>
      </c>
      <c r="P21" s="5" t="inlineStr">
        <is>
          <t>2026-05-30</t>
        </is>
      </c>
      <c r="Q21" s="5" t="inlineStr">
        <is>
          <t>2026-08-29</t>
        </is>
      </c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</row>
    <row r="22" outlineLevel="1">
      <c r="A22" s="5" t="inlineStr">
        <is>
          <t>2.g</t>
        </is>
      </c>
      <c r="B22" s="5" t="inlineStr">
        <is>
          <t>Akun &amp; Identitas</t>
        </is>
      </c>
      <c r="C22" s="5" t="inlineStr">
        <is>
          <t>Halaman</t>
        </is>
      </c>
      <c r="D22" s="18" t="inlineStr">
        <is>
          <t>Callback verifikasi KYC</t>
        </is>
      </c>
      <c r="E22" s="5" t="inlineStr">
        <is>
          <t>Quality Check</t>
        </is>
      </c>
      <c r="F22" s="5" t="inlineStr">
        <is>
          <t>Perbaikan keandalan di-commit 9 Sep; route uji coba masih ada.</t>
        </is>
      </c>
      <c r="G22" s="19" t="inlineStr">
        <is>
          <t>https://saloka.id/kyc/callback</t>
        </is>
      </c>
      <c r="H22" s="5" t="inlineStr">
        <is>
          <t>Pengguna yang kembali dari Didit</t>
        </is>
      </c>
      <c r="I22" s="5" t="inlineStr">
        <is>
          <t>Halaman setelah pengecekan identitas Didit: sedang diproses / berhasil / sedang ditinjau, lalu otomatis dialihkan.</t>
        </is>
      </c>
      <c r="J22" s="5" t="inlineStr">
        <is>
          <t>Status KYC per pengguna</t>
        </is>
      </c>
      <c r="K22" s="5" t="inlineStr">
        <is>
          <t>User (kycStatus)</t>
        </is>
      </c>
      <c r="L22" s="5" t="inlineStr">
        <is>
          <t>/api/kyc/didit; /api/kyc/status; /api/didit/webhook; /api/kyc/simulate</t>
        </is>
      </c>
      <c r="M22" s="5" t="inlineStr">
        <is>
          <t>src/app/kyc/callback/page.tsx; src/app/api/didit/webhook/route.ts</t>
        </is>
      </c>
      <c r="N22" s="5" t="inlineStr">
        <is>
          <t>Jalur paralel: Sistem Verifikasi</t>
        </is>
      </c>
      <c r="O22" s="5" t="inlineStr">
        <is>
          <t>Route uji coba /api/kyc/simulate masih ada; submitKycAction bisa menyetujui KYC tanpa pengecekan asli (tidak terhubung ke UI tetapi masih bisa dipanggil), ditunda ke Phase 6.</t>
        </is>
      </c>
      <c r="P22" s="5" t="inlineStr">
        <is>
          <t>2026-06-20</t>
        </is>
      </c>
      <c r="Q22" s="5" t="inlineStr">
        <is>
          <t>2026-06-20</t>
        </is>
      </c>
      <c r="R22" s="5" t="n"/>
      <c r="S22" s="5" t="n"/>
      <c r="T22" s="5" t="inlineStr">
        <is>
          <t>1. Signature webhook Didit gagal, hasil KYC tidak pernah diterima
2. KYC crash karena field database hilang / error batas kredit Didit</t>
        </is>
      </c>
      <c r="U22" s="5" t="inlineStr">
        <is>
          <t>1. —
2. —</t>
        </is>
      </c>
      <c r="V22" s="5" t="inlineStr">
        <is>
          <t>1. Upgrade ke Didit V3 API, signature diperbaiki (b1d68d9)
2. Field ditambahkan, error ditangani (7a4a322)</t>
        </is>
      </c>
      <c r="W22" s="5" t="inlineStr">
        <is>
          <t>1. 2026-07-11
2. 2026-07-18</t>
        </is>
      </c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</row>
    <row r="23" outlineLevel="1">
      <c r="A23" s="5" t="inlineStr">
        <is>
          <t>2.h</t>
        </is>
      </c>
      <c r="B23" s="5" t="inlineStr">
        <is>
          <t>Akun &amp; Identitas</t>
        </is>
      </c>
      <c r="C23" s="5" t="inlineStr">
        <is>
          <t>Alur</t>
        </is>
      </c>
      <c r="D23" s="18" t="inlineStr">
        <is>
          <t>Link pendek referral</t>
        </is>
      </c>
      <c r="E23" s="5" t="inlineStr">
        <is>
          <t>Quality Check</t>
        </is>
      </c>
      <c r="F23" s="5" t="inlineStr">
        <is>
          <t>Atribusi diperbaiki 13 Sep; perlu diuji ulang.</t>
        </is>
      </c>
      <c r="G23" s="5" t="inlineStr">
        <is>
          <t>https://saloka.id/ref/[username]</t>
        </is>
      </c>
      <c r="H23" s="5" t="inlineStr">
        <is>
          <t>Semua orang</t>
        </is>
      </c>
      <c r="I23" s="5" t="inlineStr">
        <is>
          <t>Mengarahkan pengunjung ke profil pemberi referral (atau ke produk, untuk link affiliate lama) dan menyimpan cookie referral first-touch selama 30 hari.</t>
        </is>
      </c>
      <c r="J23" s="5" t="inlineStr">
        <is>
          <t>Cookie referral, pelacakan klik</t>
        </is>
      </c>
      <c r="K23" s="5" t="inlineStr">
        <is>
          <t>User, AffiliateReferral</t>
        </is>
      </c>
      <c r="L23" s="5" t="inlineStr">
        <is>
          <t>src/app/ref/[slug]/route.ts; affiliate-extra.trackAffiliateClick</t>
        </is>
      </c>
      <c r="M23" s="5" t="inlineStr">
        <is>
          <t>src/app/ref/[slug]/route.ts</t>
        </is>
      </c>
      <c r="N23" s="5" t="n"/>
      <c r="O23" s="5" t="n"/>
      <c r="P23" s="5" t="inlineStr">
        <is>
          <t>2026-09-13</t>
        </is>
      </c>
      <c r="Q23" s="5" t="inlineStr">
        <is>
          <t>2026-09-13</t>
        </is>
      </c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inlineStr">
        <is>
          <t>Atribusi referral rusak (pengguna baru tidak terhubung ke pemberi referral)</t>
        </is>
      </c>
      <c r="AG23" s="5" t="inlineStr">
        <is>
          <t>—</t>
        </is>
      </c>
      <c r="AH23" s="5" t="inlineStr">
        <is>
          <t>Atribusi diperbaiki (1c4c28b)</t>
        </is>
      </c>
      <c r="AI23" s="5" t="inlineStr">
        <is>
          <t>2026-09-13</t>
        </is>
      </c>
    </row>
    <row r="24">
      <c r="A24" s="17" t="inlineStr">
        <is>
          <t>3</t>
        </is>
      </c>
      <c r="B24" s="17" t="inlineStr">
        <is>
          <t>Marketplace (Produk)</t>
        </is>
      </c>
      <c r="C24" s="17" t="inlineStr">
        <is>
          <t>Fitur</t>
        </is>
      </c>
      <c r="D24" s="17" t="inlineStr">
        <is>
          <t>Marketplace (Produk)</t>
        </is>
      </c>
      <c r="E24" s="17" t="inlineStr">
        <is>
          <t>Sedang Berjalan</t>
        </is>
      </c>
      <c r="F24" s="17" t="inlineStr">
        <is>
          <t>Penjelajahan &amp; halaman produk berjalan; alur pesanan → pembayaran → pengiriman adalah pekerjaan Minggu C dan belum selesai.</t>
        </is>
      </c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</row>
    <row r="25" outlineLevel="1">
      <c r="A25" s="5" t="inlineStr">
        <is>
          <t>3.a</t>
        </is>
      </c>
      <c r="B25" s="5" t="inlineStr">
        <is>
          <t>Marketplace (Produk)</t>
        </is>
      </c>
      <c r="C25" s="5" t="inlineStr">
        <is>
          <t>Halaman</t>
        </is>
      </c>
      <c r="D25" s="18" t="inlineStr">
        <is>
          <t>Daftar produk Marketplace</t>
        </is>
      </c>
      <c r="E25" s="5" t="inlineStr">
        <is>
          <t>Quality Check</t>
        </is>
      </c>
      <c r="F25" s="5" t="inlineStr">
        <is>
          <t>Tata letak mobile diperbaiki 1 Sep.</t>
        </is>
      </c>
      <c r="G25" s="19" t="inlineStr">
        <is>
          <t>https://saloka.id/market</t>
        </is>
      </c>
      <c r="H25" s="5" t="inlineStr">
        <is>
          <t>Semua orang</t>
        </is>
      </c>
      <c r="I25" s="5" t="inlineStr">
        <is>
          <t>Katalog produk dengan pencarian, filter kategori, dan urutan.</t>
        </is>
      </c>
      <c r="J25" s="5" t="inlineStr">
        <is>
          <t>Produk &amp; info merchant</t>
        </is>
      </c>
      <c r="K25" s="5" t="inlineStr">
        <is>
          <t>Product, User</t>
        </is>
      </c>
      <c r="L25" s="5" t="inlineStr">
        <is>
          <t>products.getProducts</t>
        </is>
      </c>
      <c r="M25" s="5" t="inlineStr">
        <is>
          <t>src/app/market/page.tsx; src/app/market/ProductListGrid.tsx</t>
        </is>
      </c>
      <c r="N25" s="5" t="n"/>
      <c r="O25" s="5" t="n"/>
      <c r="P25" s="5" t="inlineStr">
        <is>
          <t>2026-05-30</t>
        </is>
      </c>
      <c r="Q25" s="5" t="inlineStr">
        <is>
          <t>2026-09-01</t>
        </is>
      </c>
      <c r="R25" s="5" t="n"/>
      <c r="S25" s="5" t="n"/>
      <c r="T25" s="5" t="inlineStr">
        <is>
          <t>Daftar produk crash pada beberapa pencarian (field kosong / indeks negatif)</t>
        </is>
      </c>
      <c r="U25" s="5" t="inlineStr">
        <is>
          <t>—</t>
        </is>
      </c>
      <c r="V25" s="5" t="inlineStr">
        <is>
          <t>Pencarian &amp; grid dibuat null-safe (25a6964, 5677ae8)</t>
        </is>
      </c>
      <c r="W25" s="5" t="inlineStr">
        <is>
          <t>2026-06-21</t>
        </is>
      </c>
      <c r="X25" s="5" t="n"/>
      <c r="Y25" s="5" t="n"/>
      <c r="Z25" s="5" t="n"/>
      <c r="AA25" s="5" t="n"/>
      <c r="AB25" s="5" t="inlineStr">
        <is>
          <t>Tata letak mobile melebihi layar</t>
        </is>
      </c>
      <c r="AC25" s="5" t="inlineStr">
        <is>
          <t>—</t>
        </is>
      </c>
      <c r="AD25" s="5" t="inlineStr">
        <is>
          <t>Tata letak mobile &amp; padding header diperbaiki (24fa1ed)</t>
        </is>
      </c>
      <c r="AE25" s="5" t="inlineStr">
        <is>
          <t>2026-09-01</t>
        </is>
      </c>
      <c r="AF25" s="5" t="n"/>
      <c r="AG25" s="5" t="n"/>
      <c r="AH25" s="5" t="n"/>
      <c r="AI25" s="5" t="n"/>
    </row>
    <row r="26" outlineLevel="1">
      <c r="A26" s="5" t="inlineStr">
        <is>
          <t>3.b</t>
        </is>
      </c>
      <c r="B26" s="5" t="inlineStr">
        <is>
          <t>Marketplace (Produk)</t>
        </is>
      </c>
      <c r="C26" s="5" t="inlineStr">
        <is>
          <t>Halaman</t>
        </is>
      </c>
      <c r="D26" s="18" t="inlineStr">
        <is>
          <t>Detail produk</t>
        </is>
      </c>
      <c r="E26" s="5" t="inlineStr">
        <is>
          <t>Quality Check</t>
        </is>
      </c>
      <c r="F26" s="5" t="inlineStr">
        <is>
          <t>Didesain ulang 12 Sep (varian, sticky buy box).</t>
        </is>
      </c>
      <c r="G26" s="5" t="inlineStr">
        <is>
          <t>https://saloka.id/market/product/[product-id]</t>
        </is>
      </c>
      <c r="H26" s="5" t="inlineStr">
        <is>
          <t>Semua orang (membeli perlu login)</t>
        </is>
      </c>
      <c r="I26" s="5" t="inlineStr">
        <is>
          <t>Halaman produk: galeri foto, varian, sticky buy box, tab deskripsi/ulasan, ulasan, chat dengan penjual.</t>
        </is>
      </c>
      <c r="J26" s="5" t="inlineStr">
        <is>
          <t>Produk, varian, stok, ulasan</t>
        </is>
      </c>
      <c r="K26" s="5" t="inlineStr">
        <is>
          <t>Product, ProductReview, User, Notification</t>
        </is>
      </c>
      <c r="L26" s="5" t="inlineStr">
        <is>
          <t>products.getProductById; reviews.createReview, getProductReviews; /api/products/[id]/reviews-check</t>
        </is>
      </c>
      <c r="M26" s="5" t="inlineStr">
        <is>
          <t>src/app/market/product/[id]/ProductDetailView.tsx; src/lib/product-variants.ts</t>
        </is>
      </c>
      <c r="N26" s="5" t="n"/>
      <c r="O26" s="5" t="inlineStr">
        <is>
          <t>Varian disimpan sebagai JSON tersembunyi di dalam deskripsi produk, bukan di tabel tersendiri.</t>
        </is>
      </c>
      <c r="P26" s="5" t="inlineStr">
        <is>
          <t>2026-09-12</t>
        </is>
      </c>
      <c r="Q26" s="5" t="inlineStr">
        <is>
          <t>2026-09-12</t>
        </is>
      </c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</row>
    <row r="27" outlineLevel="1">
      <c r="A27" s="5" t="inlineStr">
        <is>
          <t>3.c</t>
        </is>
      </c>
      <c r="B27" s="5" t="inlineStr">
        <is>
          <t>Marketplace (Produk)</t>
        </is>
      </c>
      <c r="C27" s="5" t="inlineStr">
        <is>
          <t>Halaman</t>
        </is>
      </c>
      <c r="D27" s="18" t="inlineStr">
        <is>
          <t>Keranjang &amp; Checkout</t>
        </is>
      </c>
      <c r="E27" s="5" t="inlineStr">
        <is>
          <t>Sedang Berjalan</t>
        </is>
      </c>
      <c r="F27" s="5" t="inlineStr">
        <is>
          <t>Checkout berjalan; Snackbox kini digabung ke payload pesanan yang sama. Diverifikasi ulang 30 Sep.</t>
        </is>
      </c>
      <c r="G27" s="19" t="inlineStr">
        <is>
          <t>https://saloka.id/cart</t>
        </is>
      </c>
      <c r="H27" s="5" t="inlineStr">
        <is>
          <t>Semua orang (checkout perlu login)</t>
        </is>
      </c>
      <c r="I27" s="5" t="inlineStr">
        <is>
          <t>Keranjang bersama untuk Marketplace dan Snackbox: alamat, tarif kurir (Biteship), rincian biaya, bayar dengan DOKU (QRIS / virtual account) atau wallet; membuat pesanan.</t>
        </is>
      </c>
      <c r="J27" s="5" t="inlineStr">
        <is>
          <t>Isi keranjang (browser), ongkos kirim, pesanan, status pembayaran</t>
        </is>
      </c>
      <c r="K27" s="5" t="inlineStr">
        <is>
          <t>Order, OrderItem, OrderTracking, Product, Wallet, WalletTransaction, AffiliateReferral, Notification</t>
        </is>
      </c>
      <c r="L27" s="5" t="inlineStr">
        <is>
          <t>wallet-affiliate.checkoutCart, getActivePaymentMethods; /api/shipping/destination, /api/shipping/calculate; /api/doku/direct, /api/doku/verify; /api/midtrans/verify (legacy)</t>
        </is>
      </c>
      <c r="M27" s="5" t="inlineStr">
        <is>
          <t>src/app/cart/page.tsx; src/components/DokuDirectPaymentModal.tsx</t>
        </is>
      </c>
      <c r="N27" s="5" t="inlineStr">
        <is>
          <t>Minggu C (14–20 Sep): alur pesanan → pembayaran → pengiriman</t>
        </is>
      </c>
      <c r="O27" s="5" t="inlineStr">
        <is>
          <t>Jalur Midtrans/Komerce dan tombol bypass sandbox sudah dihapus. Sisa: pembagian komisi affiliate 60/10/10/20 masih hardcoded di kode; pelacakan pengiriman belum otomatis.</t>
        </is>
      </c>
      <c r="P27" s="5" t="inlineStr">
        <is>
          <t>2026-05-30</t>
        </is>
      </c>
      <c r="Q27" s="5" t="inlineStr">
        <is>
          <t>2026-09-12</t>
        </is>
      </c>
      <c r="R27" s="5" t="n"/>
      <c r="S27" s="5" t="n"/>
      <c r="T27" s="5" t="inlineStr">
        <is>
          <t>1. Tamu bisa masuk ke checkout tanpa login
2. Total checkout menyembunyikan biaya admin/layanan
3. Pembuatan pesanan gagal saat koneksi database lambat</t>
        </is>
      </c>
      <c r="U27" s="5" t="inlineStr">
        <is>
          <t>1. —
2. —
3. —</t>
        </is>
      </c>
      <c r="V27" s="5" t="inlineStr">
        <is>
          <t>1. Wajib login sebelum checkout + banner untuk tamu (a1b5254)
2. Rincian biaya ditampilkan di total (527f891)
3. Timeout koneksi diperpanjang + pencatatan error (bd4a4cb, 86a6148)</t>
        </is>
      </c>
      <c r="W27" s="5" t="inlineStr">
        <is>
          <t>1. 2026-08-15
2. 2026-08-15
3. 2026-08-15</t>
        </is>
      </c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inlineStr">
        <is>
          <t>Menutup modal pembayaran membuka halaman 404</t>
        </is>
      </c>
      <c r="AG27" s="5" t="inlineStr">
        <is>
          <t>—</t>
        </is>
      </c>
      <c r="AH27" s="5" t="inlineStr">
        <is>
          <t>Penutupan modal ditangani (cb6ff56)</t>
        </is>
      </c>
      <c r="AI27" s="5" t="inlineStr">
        <is>
          <t>2026-09-12</t>
        </is>
      </c>
    </row>
    <row r="28" outlineLevel="1">
      <c r="A28" s="5" t="inlineStr">
        <is>
          <t>3.d</t>
        </is>
      </c>
      <c r="B28" s="5" t="inlineStr">
        <is>
          <t>Marketplace (Produk)</t>
        </is>
      </c>
      <c r="C28" s="5" t="inlineStr">
        <is>
          <t>Halaman</t>
        </is>
      </c>
      <c r="D28" s="18" t="inlineStr">
        <is>
          <t>Pesanan saya</t>
        </is>
      </c>
      <c r="E28" s="5" t="inlineStr">
        <is>
          <t>Quality Check</t>
        </is>
      </c>
      <c r="F28" s="5" t="inlineStr">
        <is>
          <t>Tampilan diperbarui 12 Sep.</t>
        </is>
      </c>
      <c r="G28" s="19" t="inlineStr">
        <is>
          <t>https://saloka.id/orders</t>
        </is>
      </c>
      <c r="H28" s="5" t="inlineStr">
        <is>
          <t>Pembeli yang sudah login</t>
        </is>
      </c>
      <c r="I28" s="5" t="inlineStr">
        <is>
          <t>Daftar pesanan pembeli dengan badge status.</t>
        </is>
      </c>
      <c r="J28" s="5" t="inlineStr">
        <is>
          <t>Pesanan &amp; status</t>
        </is>
      </c>
      <c r="K28" s="5" t="inlineStr">
        <is>
          <t>Order</t>
        </is>
      </c>
      <c r="L28" s="5" t="inlineStr">
        <is>
          <t>orders.getMyOrders</t>
        </is>
      </c>
      <c r="M28" s="5" t="inlineStr">
        <is>
          <t>src/app/orders/page.tsx</t>
        </is>
      </c>
      <c r="N28" s="5" t="n"/>
      <c r="O28" s="5" t="n"/>
      <c r="P28" s="5" t="inlineStr">
        <is>
          <t>2026-05-31</t>
        </is>
      </c>
      <c r="Q28" s="5" t="inlineStr">
        <is>
          <t>2026-09-12</t>
        </is>
      </c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inlineStr">
        <is>
          <t>Indikator status pesanan di daftar kurang jelas</t>
        </is>
      </c>
      <c r="AG28" s="5" t="inlineStr">
        <is>
          <t>—</t>
        </is>
      </c>
      <c r="AH28" s="5" t="inlineStr">
        <is>
          <t>Badge status diperbarui (9e46c12)</t>
        </is>
      </c>
      <c r="AI28" s="5" t="inlineStr">
        <is>
          <t>2026-09-12</t>
        </is>
      </c>
    </row>
    <row r="29" outlineLevel="1">
      <c r="A29" s="5" t="inlineStr">
        <is>
          <t>3.e</t>
        </is>
      </c>
      <c r="B29" s="5" t="inlineStr">
        <is>
          <t>Marketplace (Produk)</t>
        </is>
      </c>
      <c r="C29" s="5" t="inlineStr">
        <is>
          <t>Halaman</t>
        </is>
      </c>
      <c r="D29" s="18" t="inlineStr">
        <is>
          <t>Detail &amp; pelacakan pesanan</t>
        </is>
      </c>
      <c r="E29" s="5" t="inlineStr">
        <is>
          <t>Sedang Berjalan</t>
        </is>
      </c>
      <c r="F29" s="5" t="inlineStr">
        <is>
          <t>Halaman berjalan; pelacakan kurir belum tersambung (diverifikasi 30 Sep).</t>
        </is>
      </c>
      <c r="G29" s="5" t="inlineStr">
        <is>
          <t>https://saloka.id/orders/[order-id]</t>
        </is>
      </c>
      <c r="H29" s="5" t="inlineStr">
        <is>
          <t>Pembeli pesanan tersebut</t>
        </is>
      </c>
      <c r="I29" s="5" t="inlineStr">
        <is>
          <t>Stepper status (dibayar → disiapkan → dikirim → diterima), riwayat pelacakan, konfirmasi pesanan diterima, tulis ulasan.</t>
        </is>
      </c>
      <c r="J29" s="5" t="inlineStr">
        <is>
          <t>Pesanan, tahapan pelacakan, ulasan</t>
        </is>
      </c>
      <c r="K29" s="5" t="inlineStr">
        <is>
          <t>Order, OrderTracking, ProductReview, Wallet</t>
        </is>
      </c>
      <c r="L29" s="5" t="inlineStr">
        <is>
          <t>orders.getOrderDetail; reviews.createReview</t>
        </is>
      </c>
      <c r="M29" s="5" t="inlineStr">
        <is>
          <t>src/app/orders/[id]/page.tsx</t>
        </is>
      </c>
      <c r="N29" s="5" t="inlineStr">
        <is>
          <t>Minggu C: sinkronisasi status kurir</t>
        </is>
      </c>
      <c r="O29" s="5" t="inlineStr">
        <is>
          <t>Pelacakan diperbarui manual oleh merchant (input resi + ubah status). trackBiteshipWaybill ada tapi tidak dipanggil; belum ada webhook Biteship. Notifikasi WA status pesanan memakai nomor penerima hardcoded (orders.ts:138).</t>
        </is>
      </c>
      <c r="P29" s="5" t="inlineStr">
        <is>
          <t>2026-05-31</t>
        </is>
      </c>
      <c r="Q29" s="5" t="inlineStr">
        <is>
          <t>2026-09-12</t>
        </is>
      </c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</row>
    <row r="30" outlineLevel="1">
      <c r="A30" s="5" t="inlineStr">
        <is>
          <t>3.f</t>
        </is>
      </c>
      <c r="B30" s="5" t="inlineStr">
        <is>
          <t>Marketplace (Produk)</t>
        </is>
      </c>
      <c r="C30" s="5" t="inlineStr">
        <is>
          <t>Halaman</t>
        </is>
      </c>
      <c r="D30" s="18" t="inlineStr">
        <is>
          <t>Invoice pesanan</t>
        </is>
      </c>
      <c r="E30" s="5" t="inlineStr">
        <is>
          <t>Selesai</t>
        </is>
      </c>
      <c r="F30" s="5" t="inlineStr">
        <is>
          <t>Stabil sejak 29 Agu untuk cakupan saat ini; field pajak adalah jalur terpisah.</t>
        </is>
      </c>
      <c r="G30" s="5" t="inlineStr">
        <is>
          <t>https://saloka.id/orders/[order-id]/invoice</t>
        </is>
      </c>
      <c r="H30" s="5" t="inlineStr">
        <is>
          <t>Pembeli / merchant pesanan tersebut</t>
        </is>
      </c>
      <c r="I30" s="5" t="inlineStr">
        <is>
          <t>Invoice yang bisa dicetak.</t>
        </is>
      </c>
      <c r="J30" s="5" t="inlineStr">
        <is>
          <t>Pesanan, pembeli, merchant, total</t>
        </is>
      </c>
      <c r="K30" s="5" t="inlineStr">
        <is>
          <t>Order, User</t>
        </is>
      </c>
      <c r="L30" s="5" t="inlineStr">
        <is>
          <t>orders.getOrderInvoiceData</t>
        </is>
      </c>
      <c r="M30" s="5" t="inlineStr">
        <is>
          <t>src/app/orders/[id]/invoice/page.tsx</t>
        </is>
      </c>
      <c r="N30" s="5" t="inlineStr">
        <is>
          <t>Jalur paralel: Pajak (PPN / e-Faktur) — belum dimulai</t>
        </is>
      </c>
      <c r="O30" s="5" t="inlineStr">
        <is>
          <t>Belum ada field PPN / e-Faktur.</t>
        </is>
      </c>
      <c r="P30" s="5" t="inlineStr">
        <is>
          <t>2026-05-31</t>
        </is>
      </c>
      <c r="Q30" s="5" t="inlineStr">
        <is>
          <t>2026-08-29</t>
        </is>
      </c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</row>
    <row r="31" outlineLevel="1">
      <c r="A31" s="5" t="inlineStr">
        <is>
          <t>3.g</t>
        </is>
      </c>
      <c r="B31" s="5" t="inlineStr">
        <is>
          <t>Marketplace (Produk)</t>
        </is>
      </c>
      <c r="C31" s="5" t="inlineStr">
        <is>
          <t>Halaman Admin</t>
        </is>
      </c>
      <c r="D31" s="18" t="inlineStr">
        <is>
          <t>Admin · Katalog Produk</t>
        </is>
      </c>
      <c r="E31" s="5" t="inlineStr">
        <is>
          <t>Quality Check</t>
        </is>
      </c>
      <c r="F31" s="5" t="inlineStr">
        <is>
          <t>CMS direstrukturisasi 5 Sep.</t>
        </is>
      </c>
      <c r="G31" s="19" t="inlineStr">
        <is>
          <t>https://saloka.id/cms_admin/products</t>
        </is>
      </c>
      <c r="H31" s="5" t="inlineStr">
        <is>
          <t>Admin dengan izin “products”</t>
        </is>
      </c>
      <c r="I31" s="5" t="inlineStr">
        <is>
          <t>Moderasi katalog produk.</t>
        </is>
      </c>
      <c r="J31" s="5" t="inlineStr">
        <is>
          <t>Semua produk</t>
        </is>
      </c>
      <c r="K31" s="5" t="inlineStr">
        <is>
          <t>Product</t>
        </is>
      </c>
      <c r="L31" s="5" t="inlineStr">
        <is>
          <t>src/app/cms_admin/components/ProductsTab.tsx</t>
        </is>
      </c>
      <c r="M31" s="5" t="inlineStr">
        <is>
          <t>src/app/cms_admin/components/ProductsTab.tsx</t>
        </is>
      </c>
      <c r="N31" s="5" t="n"/>
      <c r="O31" s="5" t="n"/>
      <c r="P31" s="5" t="inlineStr">
        <is>
          <t>2026-09-05</t>
        </is>
      </c>
      <c r="Q31" s="5" t="inlineStr">
        <is>
          <t>2026-09-05</t>
        </is>
      </c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</row>
    <row r="32">
      <c r="A32" s="17" t="inlineStr">
        <is>
          <t>4</t>
        </is>
      </c>
      <c r="B32" s="17" t="inlineStr">
        <is>
          <t>Jasa</t>
        </is>
      </c>
      <c r="C32" s="17" t="inlineStr">
        <is>
          <t>Fitur</t>
        </is>
      </c>
      <c r="D32" s="17" t="inlineStr">
        <is>
          <t>Jasa</t>
        </is>
      </c>
      <c r="E32" s="17" t="inlineStr">
        <is>
          <t>Sedang Berjalan</t>
        </is>
      </c>
      <c r="F32" s="17" t="inlineStr">
        <is>
          <t>Daftar dan booking berjalan, tetapi ulasan tidak disimpan ke database dan production bisa menampilkan jasa contoh.</t>
        </is>
      </c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</row>
    <row r="33" outlineLevel="1">
      <c r="A33" s="5" t="inlineStr">
        <is>
          <t>4.a</t>
        </is>
      </c>
      <c r="B33" s="5" t="inlineStr">
        <is>
          <t>Jasa</t>
        </is>
      </c>
      <c r="C33" s="5" t="inlineStr">
        <is>
          <t>Halaman</t>
        </is>
      </c>
      <c r="D33" s="18" t="inlineStr">
        <is>
          <t>Daftar jasa</t>
        </is>
      </c>
      <c r="E33" s="5" t="inlineStr">
        <is>
          <t>Sedang Berjalan</t>
        </is>
      </c>
      <c r="F33" s="5" t="inlineStr">
        <is>
          <t>Jalur data asli ada, tetapi production bisa fallback ke jasa contoh.</t>
        </is>
      </c>
      <c r="G33" s="19" t="inlineStr">
        <is>
          <t>https://saloka.id/jasa</t>
        </is>
      </c>
      <c r="H33" s="5" t="inlineStr">
        <is>
          <t>Semua orang</t>
        </is>
      </c>
      <c r="I33" s="5" t="inlineStr">
        <is>
          <t>Katalog jasa dengan pencarian dan filter.</t>
        </is>
      </c>
      <c r="J33" s="5" t="inlineStr">
        <is>
          <t>Jasa &amp; penyedia</t>
        </is>
      </c>
      <c r="K33" s="5" t="inlineStr">
        <is>
          <t>Service, User</t>
        </is>
      </c>
      <c r="L33" s="5" t="inlineStr">
        <is>
          <t>services.getServicesAction</t>
        </is>
      </c>
      <c r="M33" s="5" t="inlineStr">
        <is>
          <t>src/app/jasa/JasaClient.tsx; src/app/jasa/page.tsx</t>
        </is>
      </c>
      <c r="N33" s="5" t="n"/>
      <c r="O33" s="5" t="inlineStr">
        <is>
          <t>Fallback ke jasa contoh (mock-seed) jika database tidak mengembalikan data.</t>
        </is>
      </c>
      <c r="P33" s="5" t="inlineStr">
        <is>
          <t>2026-08-15</t>
        </is>
      </c>
      <c r="Q33" s="5" t="inlineStr">
        <is>
          <t>2026-09-05</t>
        </is>
      </c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inlineStr">
        <is>
          <t>Daftar jasa kosong di production</t>
        </is>
      </c>
      <c r="AC33" s="5" t="inlineStr">
        <is>
          <t>—</t>
        </is>
      </c>
      <c r="AD33" s="5" t="inlineStr">
        <is>
          <t>Fallback ke jasa contoh (a06f595)</t>
        </is>
      </c>
      <c r="AE33" s="5" t="inlineStr">
        <is>
          <t>2026-09-05</t>
        </is>
      </c>
      <c r="AF33" s="5" t="n"/>
      <c r="AG33" s="5" t="n"/>
      <c r="AH33" s="5" t="n"/>
      <c r="AI33" s="5" t="n"/>
    </row>
    <row r="34" outlineLevel="1">
      <c r="A34" s="5" t="inlineStr">
        <is>
          <t>4.b</t>
        </is>
      </c>
      <c r="B34" s="5" t="inlineStr">
        <is>
          <t>Jasa</t>
        </is>
      </c>
      <c r="C34" s="5" t="inlineStr">
        <is>
          <t>Halaman</t>
        </is>
      </c>
      <c r="D34" s="18" t="inlineStr">
        <is>
          <t>Detail &amp; booking jasa</t>
        </is>
      </c>
      <c r="E34" s="5" t="inlineStr">
        <is>
          <t>Sedang Berjalan</t>
        </is>
      </c>
      <c r="F34" s="5" t="inlineStr">
        <is>
          <t>Booking berjalan; ulasan jasa hanya tersimpan di memori server.</t>
        </is>
      </c>
      <c r="G34" s="5" t="inlineStr">
        <is>
          <t>https://saloka.id/jasa/[service-id]</t>
        </is>
      </c>
      <c r="H34" s="5" t="inlineStr">
        <is>
          <t>Semua orang (booking perlu login)</t>
        </is>
      </c>
      <c r="I34" s="5" t="inlineStr">
        <is>
          <t>Detail dan booking jasa: kalender bulanan, satu tanggal atau rentang tanggal, durasi, biaya platform sesuai durasi, ulasan.</t>
        </is>
      </c>
      <c r="J34" s="5" t="inlineStr">
        <is>
          <t>Jasa, ketersediaan, booking, ulasan</t>
        </is>
      </c>
      <c r="K34" s="5" t="inlineStr">
        <is>
          <t>Service, ServiceAvailability, ServiceBooking, AuditLog</t>
        </is>
      </c>
      <c r="L34" s="5" t="inlineStr">
        <is>
          <t>services.getServiceByIdAction, getServiceAvailabilityAction, createServiceBookingAction, getServiceReviewsAction, submitServiceReviewAction</t>
        </is>
      </c>
      <c r="M34" s="5" t="inlineStr">
        <is>
          <t>src/app/jasa/[id]/ServiceBookingClient.tsx; src/app/jasa/[id]/page.tsx</t>
        </is>
      </c>
      <c r="N34" s="5" t="n"/>
      <c r="O34" s="5" t="inlineStr">
        <is>
          <t>Ulasan jasa tidak punya tabel database (disimpan di memori server, hilang saat restart).</t>
        </is>
      </c>
      <c r="P34" s="5" t="inlineStr">
        <is>
          <t>2026-08-15</t>
        </is>
      </c>
      <c r="Q34" s="5" t="inlineStr">
        <is>
          <t>2026-09-05</t>
        </is>
      </c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inlineStr">
        <is>
          <t>Biaya platform tidak menyesuaikan durasi booking; booking rentang tanggal tidak tersedia untuk beberapa tipe jasa</t>
        </is>
      </c>
      <c r="AC34" s="5" t="inlineStr">
        <is>
          <t>—</t>
        </is>
      </c>
      <c r="AD34" s="5" t="inlineStr">
        <is>
          <t>Biaya sesuai durasi; rentang tanggal untuk semua tipe (0b50861, 9eb0129)</t>
        </is>
      </c>
      <c r="AE34" s="5" t="inlineStr">
        <is>
          <t>2026-09-05</t>
        </is>
      </c>
      <c r="AF34" s="5" t="n"/>
      <c r="AG34" s="5" t="n"/>
      <c r="AH34" s="5" t="n"/>
      <c r="AI34" s="5" t="n"/>
    </row>
    <row r="35" outlineLevel="1">
      <c r="A35" s="5" t="inlineStr">
        <is>
          <t>4.c</t>
        </is>
      </c>
      <c r="B35" s="5" t="inlineStr">
        <is>
          <t>Jasa</t>
        </is>
      </c>
      <c r="C35" s="5" t="inlineStr">
        <is>
          <t>Halaman Admin</t>
        </is>
      </c>
      <c r="D35" s="18" t="inlineStr">
        <is>
          <t>Admin · Jasa &amp; Layanan</t>
        </is>
      </c>
      <c r="E35" s="5" t="inlineStr">
        <is>
          <t>Quality Check</t>
        </is>
      </c>
      <c r="F35" s="5" t="inlineStr">
        <is>
          <t>2 dari 3 tab sudah dibuat.</t>
        </is>
      </c>
      <c r="G35" s="19" t="inlineStr">
        <is>
          <t>https://saloka.id/cms_admin/services/katalog</t>
        </is>
      </c>
      <c r="H35" s="5" t="inlineStr">
        <is>
          <t>Admin dengan izin “services”</t>
        </is>
      </c>
      <c r="I35" s="5" t="inlineStr">
        <is>
          <t>Katalog jasa, booking, dan jadwal.</t>
        </is>
      </c>
      <c r="J35" s="5" t="inlineStr">
        <is>
          <t>Jasa, booking</t>
        </is>
      </c>
      <c r="K35" s="5" t="inlineStr">
        <is>
          <t>Service, ServiceBooking</t>
        </is>
      </c>
      <c r="L35" s="5" t="n"/>
      <c r="M35" s="5" t="inlineStr">
        <is>
          <t>src/app/cms_admin/components/ServicesTab.tsx</t>
        </is>
      </c>
      <c r="N35" s="5" t="n"/>
      <c r="O35" s="5" t="n"/>
      <c r="P35" s="5" t="inlineStr">
        <is>
          <t>2026-09-05</t>
        </is>
      </c>
      <c r="Q35" s="5" t="inlineStr">
        <is>
          <t>2026-09-05</t>
        </is>
      </c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</row>
    <row r="36" outlineLevel="2">
      <c r="A36" s="20" t="inlineStr">
        <is>
          <t>4.c.i</t>
        </is>
      </c>
      <c r="B36" s="20" t="inlineStr">
        <is>
          <t>Jasa</t>
        </is>
      </c>
      <c r="C36" s="20" t="inlineStr">
        <is>
          <t>Tab Admin</t>
        </is>
      </c>
      <c r="D36" s="21" t="inlineStr">
        <is>
          <t>Katalog Jasa</t>
        </is>
      </c>
      <c r="E36" s="20" t="inlineStr">
        <is>
          <t>Quality Check</t>
        </is>
      </c>
      <c r="F36" s="20" t="inlineStr">
        <is>
          <t>Sudah dibuat; CMS direstrukturisasi 5 Sep.</t>
        </is>
      </c>
      <c r="G36" s="19" t="inlineStr">
        <is>
          <t>https://saloka.id/cms_admin/services/katalog</t>
        </is>
      </c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</row>
    <row r="37" outlineLevel="2">
      <c r="A37" s="20" t="inlineStr">
        <is>
          <t>4.c.ii</t>
        </is>
      </c>
      <c r="B37" s="20" t="inlineStr">
        <is>
          <t>Jasa</t>
        </is>
      </c>
      <c r="C37" s="20" t="inlineStr">
        <is>
          <t>Tab Admin</t>
        </is>
      </c>
      <c r="D37" s="21" t="inlineStr">
        <is>
          <t>Booking</t>
        </is>
      </c>
      <c r="E37" s="20" t="inlineStr">
        <is>
          <t>Quality Check</t>
        </is>
      </c>
      <c r="F37" s="20" t="inlineStr">
        <is>
          <t>Sudah dibuat; CMS direstrukturisasi 5 Sep.</t>
        </is>
      </c>
      <c r="G37" s="19" t="inlineStr">
        <is>
          <t>https://saloka.id/cms_admin/services/booking</t>
        </is>
      </c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</row>
    <row r="38" outlineLevel="2">
      <c r="A38" s="20" t="inlineStr">
        <is>
          <t>4.c.iii</t>
        </is>
      </c>
      <c r="B38" s="20" t="inlineStr">
        <is>
          <t>Jasa</t>
        </is>
      </c>
      <c r="C38" s="20" t="inlineStr">
        <is>
          <t>Tab Admin</t>
        </is>
      </c>
      <c r="D38" s="21" t="inlineStr">
        <is>
          <t>Jadwal</t>
        </is>
      </c>
      <c r="E38" s="20" t="inlineStr">
        <is>
          <t>Belum Dimulai</t>
        </is>
      </c>
      <c r="F38" s="20" t="inlineStr">
        <is>
          <t>Menampilkan layar “belum tersedia”.</t>
        </is>
      </c>
      <c r="G38" s="19" t="inlineStr">
        <is>
          <t>https://saloka.id/cms_admin/services/jadwal</t>
        </is>
      </c>
      <c r="H38" s="20" t="n"/>
      <c r="I38" s="20" t="n"/>
      <c r="J38" s="20" t="n"/>
      <c r="K38" s="20" t="n"/>
      <c r="L38" s="20" t="n"/>
      <c r="M38" s="20" t="n"/>
      <c r="N38" s="20" t="n"/>
      <c r="O38" s="20" t="inlineStr">
        <is>
          <t>Belum ada kalender ketersediaan lintas jasa untuk admin.</t>
        </is>
      </c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</row>
    <row r="39">
      <c r="A39" s="17" t="inlineStr">
        <is>
          <t>5</t>
        </is>
      </c>
      <c r="B39" s="17" t="inlineStr">
        <is>
          <t>Snackbox</t>
        </is>
      </c>
      <c r="C39" s="17" t="inlineStr">
        <is>
          <t>Fitur</t>
        </is>
      </c>
      <c r="D39" s="17" t="inlineStr">
        <is>
          <t>Snackbox</t>
        </is>
      </c>
      <c r="E39" s="17" t="inlineStr">
        <is>
          <t>Sedang Berjalan</t>
        </is>
      </c>
      <c r="F39" s="17" t="inlineStr">
        <is>
          <t>Halaman pelanggan &amp; checkout (digabung ke pesanan Marketplace) berjalan; 3 layar admin masih mock; v1 belum dinyatakan rilis (diverifikasi 30 Sep).</t>
        </is>
      </c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</row>
    <row r="40" outlineLevel="1">
      <c r="A40" s="5" t="inlineStr">
        <is>
          <t>5.a</t>
        </is>
      </c>
      <c r="B40" s="5" t="inlineStr">
        <is>
          <t>Snackbox</t>
        </is>
      </c>
      <c r="C40" s="5" t="inlineStr">
        <is>
          <t>Halaman</t>
        </is>
      </c>
      <c r="D40" s="18" t="inlineStr">
        <is>
          <t>Halaman Snackbox</t>
        </is>
      </c>
      <c r="E40" s="5" t="inlineStr">
        <is>
          <t>Quality Check</t>
        </is>
      </c>
      <c r="F40" s="5" t="inlineStr">
        <is>
          <t>Perombakan besar 9 Sep; QA v1 / bug bash belum terdokumentasi.</t>
        </is>
      </c>
      <c r="G40" s="19" t="inlineStr">
        <is>
          <t>https://saloka.id/snackbox</t>
        </is>
      </c>
      <c r="H40" s="5" t="inlineStr">
        <is>
          <t>Semua orang</t>
        </is>
      </c>
      <c r="I40" s="5" t="inlineStr">
        <is>
          <t>Pemesanan snack box lokal: deteksi kelurahan lewat GPS/IP (deteksi ulang saat pengguna berpindah), pencarian kelurahan, tab kategori, produk dari merchant di area tersebut, sticky cart bar, CTA pendaftaran merchant.</t>
        </is>
      </c>
      <c r="J40" s="5" t="inlineStr">
        <is>
          <t>Lokasi terdeteksi (browser), kelurahan, produk Snackbox</t>
        </is>
      </c>
      <c r="K40" s="5" t="inlineStr">
        <is>
          <t>Product, User</t>
        </is>
      </c>
      <c r="L40" s="5" t="inlineStr">
        <is>
          <t>products.getSnackboxProducts; /api/geolocation/detect, /api/geolocation/reverse (ip-api + OpenStreetMap); /api/kelurahan/search (kodepos.vercel.app)</t>
        </is>
      </c>
      <c r="M40" s="5" t="inlineStr">
        <is>
          <t>src/app/snackbox/page.tsx; src/context/SnackboxContext.tsx; src/components/snackbox/</t>
        </is>
      </c>
      <c r="N40" s="5" t="inlineStr">
        <is>
          <t>Minggu A (1–6 Sep): Snackbox v1</t>
        </is>
      </c>
      <c r="O40" s="5" t="inlineStr">
        <is>
          <t>Rilis v1 belum dinyatakan; belum ada bug bash terdokumentasi; slider bagi hasil 15–20% dan pencarian kategori merchant belum di-QA; daftar kelurahan fallback ke data mock jika API kode pos gagal.</t>
        </is>
      </c>
      <c r="P40" s="5" t="inlineStr">
        <is>
          <t>2026-08-29</t>
        </is>
      </c>
      <c r="Q40" s="5" t="inlineStr">
        <is>
          <t>2026-09-09</t>
        </is>
      </c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inlineStr">
        <is>
          <t>Lokasi GPS kurang presisi dibanding onboarding; masalah tata letak mobile</t>
        </is>
      </c>
      <c r="AC40" s="5" t="inlineStr">
        <is>
          <t>—</t>
        </is>
      </c>
      <c r="AD40" s="5" t="inlineStr">
        <is>
          <t>Reverse-geocoding sama dengan onboarding; tata letak mobile diperbaiki (8133e77)</t>
        </is>
      </c>
      <c r="AE40" s="5" t="inlineStr">
        <is>
          <t>2026-09-05</t>
        </is>
      </c>
      <c r="AF40" s="5" t="n"/>
      <c r="AG40" s="5" t="n"/>
      <c r="AH40" s="5" t="n"/>
      <c r="AI40" s="5" t="n"/>
    </row>
    <row r="41" outlineLevel="1">
      <c r="A41" s="5" t="inlineStr">
        <is>
          <t>5.b</t>
        </is>
      </c>
      <c r="B41" s="5" t="inlineStr">
        <is>
          <t>Snackbox</t>
        </is>
      </c>
      <c r="C41" s="5" t="inlineStr">
        <is>
          <t>Alur</t>
        </is>
      </c>
      <c r="D41" s="18" t="inlineStr">
        <is>
          <t>Checkout Snackbox (keranjang bersama)</t>
        </is>
      </c>
      <c r="E41" s="5" t="inlineStr">
        <is>
          <t>Sedang Berjalan</t>
        </is>
      </c>
      <c r="F41" s="5" t="inlineStr">
        <is>
          <t>Memakai keranjang Marketplace yang masih dikerjakan.</t>
        </is>
      </c>
      <c r="G41" s="19" t="inlineStr">
        <is>
          <t>https://saloka.id/cart</t>
        </is>
      </c>
      <c r="H41" s="5" t="inlineStr">
        <is>
          <t>Pembeli yang sudah login</t>
        </is>
      </c>
      <c r="I41" s="5" t="inlineStr">
        <is>
          <t>Box Snackbox melewati keranjang &amp; checkout bersama Marketplace.</t>
        </is>
      </c>
      <c r="J41" s="5" t="n"/>
      <c r="K41" s="5" t="n"/>
      <c r="L41" s="5" t="n"/>
      <c r="M41" s="5" t="inlineStr">
        <is>
          <t>src/app/cart/page.tsx</t>
        </is>
      </c>
      <c r="N41" s="5" t="inlineStr">
        <is>
          <t>Minggu A / Minggu C</t>
        </is>
      </c>
      <c r="O41" s="5" t="n"/>
      <c r="P41" s="5" t="inlineStr">
        <is>
          <t>2026-05-30</t>
        </is>
      </c>
      <c r="Q41" s="5" t="inlineStr">
        <is>
          <t>2026-09-12</t>
        </is>
      </c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</row>
    <row r="42" outlineLevel="1">
      <c r="A42" s="5" t="inlineStr">
        <is>
          <t>5.c</t>
        </is>
      </c>
      <c r="B42" s="5" t="inlineStr">
        <is>
          <t>Snackbox</t>
        </is>
      </c>
      <c r="C42" s="5" t="inlineStr">
        <is>
          <t>Halaman Admin</t>
        </is>
      </c>
      <c r="D42" s="18" t="inlineStr">
        <is>
          <t>Admin · Mitra &amp; Produk Snackbox</t>
        </is>
      </c>
      <c r="E42" s="5" t="inlineStr">
        <is>
          <t>Quality Check</t>
        </is>
      </c>
      <c r="F42" s="5" t="inlineStr">
        <is>
          <t>Memakai tabel merchant &amp; produk yang asli.</t>
        </is>
      </c>
      <c r="G42" s="19" t="inlineStr">
        <is>
          <t>https://saloka.id/cms_admin/snackbox-kurasi/merchant</t>
        </is>
      </c>
      <c r="H42" s="5" t="inlineStr">
        <is>
          <t>Admin dengan izin “snackbox-kurasi”</t>
        </is>
      </c>
      <c r="I42" s="5" t="inlineStr">
        <is>
          <t>Menyetujui merchant dan produk untuk Snackbox.</t>
        </is>
      </c>
      <c r="J42" s="5" t="inlineStr">
        <is>
          <t>Merchant, produk</t>
        </is>
      </c>
      <c r="K42" s="5" t="inlineStr">
        <is>
          <t>User, Product</t>
        </is>
      </c>
      <c r="L42" s="5" t="n"/>
      <c r="M42" s="5" t="inlineStr">
        <is>
          <t>src/app/cms_admin/components/MerchantVerificationTab.tsx; src/app/cms_admin/components/ProductsTab.tsx</t>
        </is>
      </c>
      <c r="N42" s="5" t="n"/>
      <c r="O42" s="5" t="n"/>
      <c r="P42" s="5" t="inlineStr">
        <is>
          <t>2026-09-05</t>
        </is>
      </c>
      <c r="Q42" s="5" t="inlineStr">
        <is>
          <t>2026-09-05</t>
        </is>
      </c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</row>
    <row r="43" outlineLevel="2">
      <c r="A43" s="20" t="inlineStr">
        <is>
          <t>5.c.i</t>
        </is>
      </c>
      <c r="B43" s="20" t="inlineStr">
        <is>
          <t>Snackbox</t>
        </is>
      </c>
      <c r="C43" s="20" t="inlineStr">
        <is>
          <t>Tab Admin</t>
        </is>
      </c>
      <c r="D43" s="21" t="inlineStr">
        <is>
          <t>Mitra Snackbox</t>
        </is>
      </c>
      <c r="E43" s="20" t="inlineStr">
        <is>
          <t>Quality Check</t>
        </is>
      </c>
      <c r="F43" s="20" t="inlineStr">
        <is>
          <t>Data asli.</t>
        </is>
      </c>
      <c r="G43" s="19" t="inlineStr">
        <is>
          <t>https://saloka.id/cms_admin/snackbox-kurasi/merchant</t>
        </is>
      </c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</row>
    <row r="44" outlineLevel="2">
      <c r="A44" s="20" t="inlineStr">
        <is>
          <t>5.c.ii</t>
        </is>
      </c>
      <c r="B44" s="20" t="inlineStr">
        <is>
          <t>Snackbox</t>
        </is>
      </c>
      <c r="C44" s="20" t="inlineStr">
        <is>
          <t>Tab Admin</t>
        </is>
      </c>
      <c r="D44" s="21" t="inlineStr">
        <is>
          <t>Produk Snackbox</t>
        </is>
      </c>
      <c r="E44" s="20" t="inlineStr">
        <is>
          <t>Quality Check</t>
        </is>
      </c>
      <c r="F44" s="20" t="inlineStr">
        <is>
          <t>Data asli (tabel yang sama dengan Katalog Produk).</t>
        </is>
      </c>
      <c r="G44" s="19" t="inlineStr">
        <is>
          <t>https://saloka.id/cms_admin/snackbox-kurasi/katalog</t>
        </is>
      </c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</row>
    <row r="45" outlineLevel="1">
      <c r="A45" s="5" t="inlineStr">
        <is>
          <t>5.d</t>
        </is>
      </c>
      <c r="B45" s="5" t="inlineStr">
        <is>
          <t>Snackbox</t>
        </is>
      </c>
      <c r="C45" s="5" t="inlineStr">
        <is>
          <t>Halaman Admin</t>
        </is>
      </c>
      <c r="D45" s="18" t="inlineStr">
        <is>
          <t>Admin · Order History Snackbox</t>
        </is>
      </c>
      <c r="E45" s="5" t="inlineStr">
        <is>
          <t>Sedang Berjalan</t>
        </is>
      </c>
      <c r="F45" s="5" t="inlineStr">
        <is>
          <t>Masih ditandai mock di CMS (nav.config mock:true): tidak tersimpan ke database (diverifikasi 30 Sep).</t>
        </is>
      </c>
      <c r="G45" s="19" t="inlineStr">
        <is>
          <t>https://saloka.id/cms_admin/snackbox-order/pending</t>
        </is>
      </c>
      <c r="H45" s="5" t="inlineStr">
        <is>
          <t>Admin</t>
        </is>
      </c>
      <c r="I45" s="5" t="inlineStr">
        <is>
          <t>Meneruskan pesanan Snackbox ke mitra kue lokal (tab: Pending, Dihubungi, Konfirmasi, Ditolak).</t>
        </is>
      </c>
      <c r="J45" s="5" t="inlineStr">
        <is>
          <t>Hanya pesanan contoh</t>
        </is>
      </c>
      <c r="K45" s="5" t="n"/>
      <c r="L45" s="5" t="n"/>
      <c r="M45" s="5" t="inlineStr">
        <is>
          <t>src/app/cms_admin/nav.config.ts</t>
        </is>
      </c>
      <c r="N45" s="5" t="inlineStr">
        <is>
          <t>Minggu A</t>
        </is>
      </c>
      <c r="O45" s="5" t="inlineStr">
        <is>
          <t>Belum terhubung ke pesanan asli.</t>
        </is>
      </c>
      <c r="P45" s="5" t="inlineStr">
        <is>
          <t>2026-09-05</t>
        </is>
      </c>
      <c r="Q45" s="5" t="inlineStr">
        <is>
          <t>2026-09-13</t>
        </is>
      </c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</row>
    <row r="46" outlineLevel="1">
      <c r="A46" s="5" t="inlineStr">
        <is>
          <t>5.e</t>
        </is>
      </c>
      <c r="B46" s="5" t="inlineStr">
        <is>
          <t>Snackbox</t>
        </is>
      </c>
      <c r="C46" s="5" t="inlineStr">
        <is>
          <t>Halaman Admin</t>
        </is>
      </c>
      <c r="D46" s="18" t="inlineStr">
        <is>
          <t>Admin · Coverage Kelurahan</t>
        </is>
      </c>
      <c r="E46" s="5" t="inlineStr">
        <is>
          <t>Sedang Berjalan</t>
        </is>
      </c>
      <c r="F46" s="5" t="inlineStr">
        <is>
          <t>Masih mock; daftar coverage hanya tersimpan di localStorage browser (diverifikasi 30 Sep).</t>
        </is>
      </c>
      <c r="G46" s="19" t="inlineStr">
        <is>
          <t>https://saloka.id/cms_admin/snackbox-coverage</t>
        </is>
      </c>
      <c r="H46" s="5" t="inlineStr">
        <is>
          <t>Admin</t>
        </is>
      </c>
      <c r="I46" s="5" t="inlineStr">
        <is>
          <t>Kelurahan yang dilayani Snackbox; pencarian kelurahan nasional dengan aktivasi sekali klik.</t>
        </is>
      </c>
      <c r="J46" s="5" t="inlineStr">
        <is>
          <t>Daftar coverage (localStorage browser)</t>
        </is>
      </c>
      <c r="K46" s="5" t="n"/>
      <c r="L46" s="5" t="inlineStr">
        <is>
          <t>/api/kelurahan/search</t>
        </is>
      </c>
      <c r="M46" s="5" t="inlineStr">
        <is>
          <t>src/app/cms_admin/components/KelurahanTab.tsx</t>
        </is>
      </c>
      <c r="N46" s="5" t="inlineStr">
        <is>
          <t>Minggu A</t>
        </is>
      </c>
      <c r="O46" s="5" t="inlineStr">
        <is>
          <t>Coverage tidak disimpan di database, sehingga tidak dibagikan antar admin atau perangkat.</t>
        </is>
      </c>
      <c r="P46" s="5" t="inlineStr">
        <is>
          <t>2026-09-05</t>
        </is>
      </c>
      <c r="Q46" s="5" t="inlineStr">
        <is>
          <t>2026-09-05</t>
        </is>
      </c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</row>
    <row r="47" outlineLevel="1">
      <c r="A47" s="5" t="inlineStr">
        <is>
          <t>5.f</t>
        </is>
      </c>
      <c r="B47" s="5" t="inlineStr">
        <is>
          <t>Snackbox</t>
        </is>
      </c>
      <c r="C47" s="5" t="inlineStr">
        <is>
          <t>Halaman Admin</t>
        </is>
      </c>
      <c r="D47" s="18" t="inlineStr">
        <is>
          <t>Admin · Payout Mitra</t>
        </is>
      </c>
      <c r="E47" s="5" t="inlineStr">
        <is>
          <t>Belum Dimulai</t>
        </is>
      </c>
      <c r="F47" s="5" t="inlineStr">
        <is>
          <t>Masih mock: MOCK_BATCHES hardcoded dan tombol payout tidak memindahkan uang (diverifikasi 30 Sep).</t>
        </is>
      </c>
      <c r="G47" s="19" t="inlineStr">
        <is>
          <t>https://saloka.id/cms_admin/snackbox-payout</t>
        </is>
      </c>
      <c r="H47" s="5" t="inlineStr">
        <is>
          <t>Admin</t>
        </is>
      </c>
      <c r="I47" s="5" t="inlineStr">
        <is>
          <t>Pencairan dana terjadwal ke mitra Snackbox.</t>
        </is>
      </c>
      <c r="J47" s="5" t="inlineStr">
        <is>
          <t>Batch contoh yang di-hardcode</t>
        </is>
      </c>
      <c r="K47" s="5" t="n"/>
      <c r="L47" s="5" t="n"/>
      <c r="M47" s="5" t="inlineStr">
        <is>
          <t>src/app/cms_admin/components/SnackboxPayoutTab.tsx</t>
        </is>
      </c>
      <c r="N47" s="5" t="n"/>
      <c r="O47" s="5" t="inlineStr">
        <is>
          <t>Logika payout asli belum dibuat.</t>
        </is>
      </c>
      <c r="P47" s="5" t="inlineStr">
        <is>
          <t>2026-09-05</t>
        </is>
      </c>
      <c r="Q47" s="5" t="inlineStr">
        <is>
          <t>2026-09-05</t>
        </is>
      </c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</row>
    <row r="48">
      <c r="A48" s="17" t="inlineStr">
        <is>
          <t>6</t>
        </is>
      </c>
      <c r="B48" s="17" t="inlineStr">
        <is>
          <t>Komunitas</t>
        </is>
      </c>
      <c r="C48" s="17" t="inlineStr">
        <is>
          <t>Fitur</t>
        </is>
      </c>
      <c r="D48" s="17" t="inlineStr">
        <is>
          <t>Komunitas</t>
        </is>
      </c>
      <c r="E48" s="17" t="inlineStr">
        <is>
          <t>Quality Check</t>
        </is>
      </c>
      <c r="F48" s="17" t="inlineStr">
        <is>
          <t>Sebagian besar modul memakai data asli; QA mobile &amp; feature freeze Minggu B belum disetujui; tab Event belum tersimpan ke database; 10 modul template Perkumpulan masih placeholder.</t>
        </is>
      </c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</row>
    <row r="49" outlineLevel="1">
      <c r="A49" s="5" t="inlineStr">
        <is>
          <t>6.a</t>
        </is>
      </c>
      <c r="B49" s="5" t="inlineStr">
        <is>
          <t>Komunitas</t>
        </is>
      </c>
      <c r="C49" s="5" t="inlineStr">
        <is>
          <t>Halaman</t>
        </is>
      </c>
      <c r="D49" s="18" t="inlineStr">
        <is>
          <t>Community Hub (direktori)</t>
        </is>
      </c>
      <c r="E49" s="5" t="inlineStr">
        <is>
          <t>Quality Check</t>
        </is>
      </c>
      <c r="F49" s="5" t="inlineStr">
        <is>
          <t>Diubah 13 Sep; QA mobile &amp; freeze belum selesai.</t>
        </is>
      </c>
      <c r="G49" s="19" t="inlineStr">
        <is>
          <t>https://saloka.id/community</t>
        </is>
      </c>
      <c r="H49" s="5" t="inlineStr">
        <is>
          <t>Semua orang; membuat/bergabung perlu login (plus KYC jika admin mengaktifkannya)</t>
        </is>
      </c>
      <c r="I49" s="5" t="inlineStr">
        <is>
          <t>Direktori semua Perkumpulan &amp; Koperasi dengan badge tipe/tier dan harga bergabung; widget “Komunitas &amp; Role Saya” dengan pengalih komunitas utama; form buat komunitas — Perkumpulan (template Society / Business / Education / Culinary; Reguler gratis) atau Koperasi (Reguler / Premium / Max, aktivasi berbayar).</t>
        </is>
      </c>
      <c r="J49" s="5" t="inlineStr">
        <is>
          <t>Komunitas, badge &amp; harga, keanggotaan dan peran pengguna, pengaturan KYC global</t>
        </is>
      </c>
      <c r="K49" s="5" t="inlineStr">
        <is>
          <t>Community, CommunityMembership, User, SystemSetting</t>
        </is>
      </c>
      <c r="L49" s="5" t="inlineStr">
        <is>
          <t>community.getIndukCommunities, createIndukCommunity, joinIndukCommunity, getUserCommunitiesWithRolesAction, switchActiveIndukCommunityAction; admin.getGlobalKycSettingAction; /api/upload</t>
        </is>
      </c>
      <c r="M49" s="5" t="inlineStr">
        <is>
          <t>src/app/community/CommunityDirectoryClient.tsx; src/app/community/CreateCommunityModal.tsx; src/lib/community-badge.ts; src/lib/community-templates.ts</t>
        </is>
      </c>
      <c r="N49" s="5" t="inlineStr">
        <is>
          <t>Minggu B (7–13 Sep): Finalisasi Sistem Komunitas</t>
        </is>
      </c>
      <c r="O49" s="5" t="inlineStr">
        <is>
          <t>QA mobile dan feature freeze belum disetujui.</t>
        </is>
      </c>
      <c r="P49" s="5" t="inlineStr">
        <is>
          <t>2026-08-30</t>
        </is>
      </c>
      <c r="Q49" s="5" t="inlineStr">
        <is>
          <t>2026-09-13</t>
        </is>
      </c>
      <c r="R49" s="5" t="n"/>
      <c r="S49" s="5" t="n"/>
      <c r="T49" s="5" t="inlineStr">
        <is>
          <t>1. Pendaftaran Perkumpulan meminta pembayaran
2. Bergabung ke komunitas lain menimpa keanggotaan / status pending sebelumnya
3. Perkumpulan menerima bonus koin milik Koperasi</t>
        </is>
      </c>
      <c r="U49" s="5" t="inlineStr">
        <is>
          <t>1. —
2. —
3. —</t>
        </is>
      </c>
      <c r="V49" s="5" t="inlineStr">
        <is>
          <t>1. Perkumpulan gratis; hanya Koperasi yang membayar aktivasi (7833a69)
2. Status per komunitas, banyak keanggotaan tetap tersimpan (c4bbe99)
3. Bonus koin dibatasi untuk tier Koperasi (44ab8e8)</t>
        </is>
      </c>
      <c r="W49" s="5" t="inlineStr">
        <is>
          <t>1. 2026-08-05
2. 2026-08-08
3. 2026-08-08</t>
        </is>
      </c>
      <c r="X49" s="5" t="inlineStr">
        <is>
          <t>Carousel kartu peran tidak bisa di-scroll di mobile; avatar bukan foto asli</t>
        </is>
      </c>
      <c r="Y49" s="5" t="inlineStr">
        <is>
          <t>—</t>
        </is>
      </c>
      <c r="Z49" s="5" t="inlineStr">
        <is>
          <t>Scroll sentuh, avatar asli, modal “Lihat semua” (b61c101, a78d38c, 182c386)</t>
        </is>
      </c>
      <c r="AA49" s="5" t="inlineStr">
        <is>
          <t>2026-08-30</t>
        </is>
      </c>
      <c r="AB49" s="5" t="inlineStr">
        <is>
          <t>Biaya bergabung menampilkan nilai dummy; badge berbayar hilang di tier Koperasi &amp; Perkumpulan Premium</t>
        </is>
      </c>
      <c r="AC49" s="5" t="inlineStr">
        <is>
          <t>—</t>
        </is>
      </c>
      <c r="AD49" s="5" t="inlineStr">
        <is>
          <t>Biaya bergabung asli; badge ditegakkan (c345a34, 14b1281)</t>
        </is>
      </c>
      <c r="AE49" s="5" t="inlineStr">
        <is>
          <t>2026-09-06</t>
        </is>
      </c>
      <c r="AF49" s="5" t="inlineStr">
        <is>
          <t>Beberapa komunitas Koperasi &amp; Perkumpulan Premium tampil sebagai gratis</t>
        </is>
      </c>
      <c r="AG49" s="5" t="inlineStr">
        <is>
          <t>—</t>
        </is>
      </c>
      <c r="AH49" s="5" t="inlineStr">
        <is>
          <t>Selalu tampil sebagai berbayar (f2c1a05)</t>
        </is>
      </c>
      <c r="AI49" s="5" t="inlineStr">
        <is>
          <t>2026-09-07</t>
        </is>
      </c>
    </row>
    <row r="50" outlineLevel="1">
      <c r="A50" s="5" t="inlineStr">
        <is>
          <t>6.b</t>
        </is>
      </c>
      <c r="B50" s="5" t="inlineStr">
        <is>
          <t>Komunitas</t>
        </is>
      </c>
      <c r="C50" s="5" t="inlineStr">
        <is>
          <t>Halaman</t>
        </is>
      </c>
      <c r="D50" s="18" t="inlineStr">
        <is>
          <t>Landing page komunitas (publik)</t>
        </is>
      </c>
      <c r="E50" s="5" t="inlineStr">
        <is>
          <t>Quality Check</t>
        </is>
      </c>
      <c r="F50" s="5" t="inlineStr">
        <is>
          <t>Diubah 13 Sep; perbaikan jumlah anggota belum di-commit.</t>
        </is>
      </c>
      <c r="G50" s="5" t="inlineStr">
        <is>
          <t>https://saloka.id/community/[community-id]</t>
        </is>
      </c>
      <c r="H50" s="5" t="inlineStr">
        <is>
          <t>Semua orang — semua tipe &amp; tier</t>
        </is>
      </c>
      <c r="I50" s="5" t="inlineStr">
        <is>
          <t>Halaman publik satu komunitas: hero &amp; badge, tentang &amp; legalitas (akta, AHU, NPWP), produk resmi dan produk anggota, tombol bergabung. Gratis untuk Perkumpulan Reguler; biaya bergabung berbayar (DOKU) untuk Perkumpulan Premium dan semua tier Koperasi (Reguler / Premium / Max).</t>
        </is>
      </c>
      <c r="J50" s="5" t="inlineStr">
        <is>
          <t>Profil &amp; desain landing komunitas, biaya bergabung, jumlah anggota, siapa yang mereferensikan anggota baru</t>
        </is>
      </c>
      <c r="K50" s="5" t="inlineStr">
        <is>
          <t>Community, CommunityMembership, CommunityReferralLog, Wallet, WalletTransaction</t>
        </is>
      </c>
      <c r="L50" s="5" t="inlineStr">
        <is>
          <t>community.joinIndukCommunity, payCommunityJoinFeeAction; /api/payment/checkout &amp; /api/payment/verify (JOIN_FEE)</t>
        </is>
      </c>
      <c r="M50" s="5" t="inlineStr">
        <is>
          <t>src/app/community/[id]/LandingPageView.tsx; src/app/community/[id]/page.tsx</t>
        </is>
      </c>
      <c r="N50" s="5" t="inlineStr">
        <is>
          <t>Minggu B</t>
        </is>
      </c>
      <c r="O50" s="5" t="inlineStr">
        <is>
          <t>Membuka id komunitas yang tidak dikenal diam-diam membuat komunitas baru (catatan Phase 6); id yang mengandung “dummy”/“perahu” menampilkan data contoh.</t>
        </is>
      </c>
      <c r="P50" s="5" t="inlineStr">
        <is>
          <t>2026-08-12</t>
        </is>
      </c>
      <c r="Q50" s="5" t="inlineStr">
        <is>
          <t>2026-09-13</t>
        </is>
      </c>
      <c r="R50" s="5" t="n"/>
      <c r="S50" s="5" t="n"/>
      <c r="T50" s="5" t="inlineStr">
        <is>
          <t>Error “Komunitas tidak ditemukan” pada komunitas yang valid</t>
        </is>
      </c>
      <c r="U50" s="5" t="inlineStr">
        <is>
          <t>—</t>
        </is>
      </c>
      <c r="V50" s="5" t="inlineStr">
        <is>
          <t>Sinkronisasi skema + fallback seeding (49f8e69)</t>
        </is>
      </c>
      <c r="W50" s="5" t="inlineStr">
        <is>
          <t>2026-07-15</t>
        </is>
      </c>
      <c r="X50" s="5" t="n"/>
      <c r="Y50" s="5" t="n"/>
      <c r="Z50" s="5" t="n"/>
      <c r="AA50" s="5" t="n"/>
      <c r="AB50" s="5" t="inlineStr">
        <is>
          <t>Bergabung / membayar biaya bergabung gagal (user undefined, update database bermasalah)</t>
        </is>
      </c>
      <c r="AC50" s="5" t="inlineStr">
        <is>
          <t>—</t>
        </is>
      </c>
      <c r="AD50" s="5" t="inlineStr">
        <is>
          <t>Proses bergabung &amp; update pembayaran diperbaiki (14236eb, 44b89e8)</t>
        </is>
      </c>
      <c r="AE50" s="5" t="inlineStr">
        <is>
          <t>2026-09-06</t>
        </is>
      </c>
      <c r="AF50" s="5" t="inlineStr">
        <is>
          <t>1. Beberapa komunitas berbayar tampil sebagai gratis
2. Jumlah anggota ikut menghitung anggota yang dikeluarkan; daftar anggota usang tepat setelah membayar biaya bergabung</t>
        </is>
      </c>
      <c r="AG50" s="5" t="inlineStr">
        <is>
          <t>1. —
2. —</t>
        </is>
      </c>
      <c r="AH50" s="5" t="inlineStr">
        <is>
          <t>1. Selalu tampil sebagai berbayar (f2c1a05)
2. Anggota yang dikeluarkan difilter; cache anggota/statistik dibersihkan</t>
        </is>
      </c>
      <c r="AI50" s="5" t="inlineStr">
        <is>
          <t>1. 2026-09-07
2. Sedang dikerjakan (belum di-commit)</t>
        </is>
      </c>
    </row>
    <row r="51" outlineLevel="1">
      <c r="A51" s="5" t="inlineStr">
        <is>
          <t>6.c</t>
        </is>
      </c>
      <c r="B51" s="5" t="inlineStr">
        <is>
          <t>Komunitas</t>
        </is>
      </c>
      <c r="C51" s="5" t="inlineStr">
        <is>
          <t>Halaman</t>
        </is>
      </c>
      <c r="D51" s="18" t="inlineStr">
        <is>
          <t>Dashboard komunitas (area anggota)</t>
        </is>
      </c>
      <c r="E51" s="5" t="inlineStr">
        <is>
          <t>Quality Check</t>
        </is>
      </c>
      <c r="F51" s="5" t="inlineStr">
        <is>
          <t>Diubah 13 Sep; QA mobile belum selesai.</t>
        </is>
      </c>
      <c r="G51" s="5" t="inlineStr">
        <is>
          <t>https://saloka.id/community/[community-id]?view=dashboard&amp;tab=beranda</t>
        </is>
      </c>
      <c r="H51" s="5" t="inlineStr">
        <is>
          <t>Anggota. Menu tergantung tipe: Koperasi (semua tier) atau template Perkumpulan; pengurus mendapat tab tambahan.</t>
        </is>
      </c>
      <c r="I51" s="5" t="inlineStr">
        <is>
          <t>Ruang kerja dengan sidebar untuk satu komunitas. Tab di bawah.</t>
        </is>
      </c>
      <c r="J51" s="5" t="n"/>
      <c r="K51" s="5" t="inlineStr">
        <is>
          <t>Community, CommunityMembership</t>
        </is>
      </c>
      <c r="L51" s="5" t="n"/>
      <c r="M51" s="5" t="inlineStr">
        <is>
          <t>src/app/community/[id]/CommunityDetailClient.tsx</t>
        </is>
      </c>
      <c r="N51" s="5" t="inlineStr">
        <is>
          <t>Minggu B</t>
        </is>
      </c>
      <c r="O51" s="5" t="n"/>
      <c r="P51" s="5" t="inlineStr">
        <is>
          <t>2026-06-18</t>
        </is>
      </c>
      <c r="Q51" s="5" t="inlineStr">
        <is>
          <t>2026-09-13</t>
        </is>
      </c>
      <c r="R51" s="5" t="n"/>
      <c r="S51" s="5" t="n"/>
      <c r="T51" s="5" t="inlineStr">
        <is>
          <t>1. Tombol top-up dummy memungkinkan pembayaran tanpa uang asli
2. Halaman komunitas lambat dimuat</t>
        </is>
      </c>
      <c r="U51" s="5" t="inlineStr">
        <is>
          <t>1. —
2. —</t>
        </is>
      </c>
      <c r="V51" s="5" t="inlineStr">
        <is>
          <t>1. Dihapus; pembayaran QRIS/bank asli diwajibkan (f82cc30)
2. Data dimuat secara paralel (5d6e3fc)</t>
        </is>
      </c>
      <c r="W51" s="5" t="inlineStr">
        <is>
          <t>1. 2026-07-23
2. 2026-07-23</t>
        </is>
      </c>
      <c r="X51" s="5" t="inlineStr">
        <is>
          <t>Diskusi/Event/Galeri/Produk/Ketua/Legalitas menampilkan data yang sama untuk setiap komunitas</t>
        </is>
      </c>
      <c r="Y51" s="5" t="inlineStr">
        <is>
          <t>—</t>
        </is>
      </c>
      <c r="Z51" s="5" t="inlineStr">
        <is>
          <t>Data diambil per komunitas (6fa23e9)</t>
        </is>
      </c>
      <c r="AA51" s="5" t="inlineStr">
        <is>
          <t>2026-08-23</t>
        </is>
      </c>
      <c r="AB51" s="5" t="n"/>
      <c r="AC51" s="5" t="n"/>
      <c r="AD51" s="5" t="n"/>
      <c r="AE51" s="5" t="n"/>
      <c r="AF51" s="5" t="n"/>
      <c r="AG51" s="5" t="n"/>
      <c r="AH51" s="5" t="n"/>
      <c r="AI51" s="5" t="n"/>
    </row>
    <row r="52" outlineLevel="2">
      <c r="A52" s="20" t="inlineStr">
        <is>
          <t>6.c.i</t>
        </is>
      </c>
      <c r="B52" s="20" t="inlineStr">
        <is>
          <t>Komunitas</t>
        </is>
      </c>
      <c r="C52" s="20" t="inlineStr">
        <is>
          <t>Tab</t>
        </is>
      </c>
      <c r="D52" s="21" t="inlineStr">
        <is>
          <t>Beranda</t>
        </is>
      </c>
      <c r="E52" s="20" t="inlineStr">
        <is>
          <t>Quality Check</t>
        </is>
      </c>
      <c r="F52" s="20" t="inlineStr">
        <is>
          <t>Statistik asli sejak 12 Agu; beberapa kotak angka tetap 0.</t>
        </is>
      </c>
      <c r="G52" s="20" t="inlineStr">
        <is>
          <t>https://saloka.id/community/[community-id]?view=dashboard&amp;tab=beranda</t>
        </is>
      </c>
      <c r="H52" s="20" t="inlineStr">
        <is>
          <t>Semua tipe &amp; template</t>
        </is>
      </c>
      <c r="I52" s="20" t="inlineStr">
        <is>
          <t>Kotak statistik + feed aktivitas dengan filter. Koperasi: anggota, total simpanan, SHU tahun ini, unit usaha. Kotak statistik Perkumpulan tergantung template.</t>
        </is>
      </c>
      <c r="J52" s="20" t="inlineStr">
        <is>
          <t>Jumlah anggota, total simpanan, SHU, merchant, event, diskusi</t>
        </is>
      </c>
      <c r="K52" s="20" t="inlineStr">
        <is>
          <t>Community, CommunityMembership, CooperativeSavingsTransaction, ShuConfig</t>
        </is>
      </c>
      <c r="L52" s="20" t="inlineStr">
        <is>
          <t>community.getCommunityRealStatsAction; savings.getCommunitySavingsSummaryAction</t>
        </is>
      </c>
      <c r="M52" s="20" t="inlineStr">
        <is>
          <t>src/app/community/[id]/CommunityDetailClient.tsx</t>
        </is>
      </c>
      <c r="N52" s="20" t="inlineStr">
        <is>
          <t>Minggu B</t>
        </is>
      </c>
      <c r="O52" s="20" t="inlineStr">
        <is>
          <t>Kotak statistik untuk modul yang belum dibuat di-hardcode 0 (Pelatihan, Kelas, Kompetisi, Supplier).</t>
        </is>
      </c>
      <c r="P52" s="20" t="inlineStr">
        <is>
          <t>2026-06-18</t>
        </is>
      </c>
      <c r="Q52" s="20" t="inlineStr">
        <is>
          <t>2026-09-13</t>
        </is>
      </c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</row>
    <row r="53" outlineLevel="2">
      <c r="A53" s="20" t="inlineStr">
        <is>
          <t>6.c.ii</t>
        </is>
      </c>
      <c r="B53" s="20" t="inlineStr">
        <is>
          <t>Komunitas</t>
        </is>
      </c>
      <c r="C53" s="20" t="inlineStr">
        <is>
          <t>Tab</t>
        </is>
      </c>
      <c r="D53" s="21" t="inlineStr">
        <is>
          <t>Diskusi</t>
        </is>
      </c>
      <c r="E53" s="20" t="inlineStr">
        <is>
          <t>Quality Check</t>
        </is>
      </c>
      <c r="F53" s="20" t="inlineStr">
        <is>
          <t>Penyimpanan diperbaiki 5 Sep.</t>
        </is>
      </c>
      <c r="G53" s="20" t="inlineStr">
        <is>
          <t>https://saloka.id/community/[community-id]?view=dashboard&amp;tab=diskusi</t>
        </is>
      </c>
      <c r="H53" s="20" t="inlineStr">
        <is>
          <t>Semua tipe &amp; template</t>
        </is>
      </c>
      <c r="I53" s="20" t="inlineStr">
        <is>
          <t>Forum: thread, balasan, suka, pin/tutup, jawaban membantu &amp; jawaban terbaik.</t>
        </is>
      </c>
      <c r="J53" s="20" t="inlineStr">
        <is>
          <t>Thread &amp; balasan</t>
        </is>
      </c>
      <c r="K53" s="20" t="inlineStr">
        <is>
          <t>SystemSetting (satu nilai JSON per komunitas; tabel Discussion/DiscussionReply ada tetapi tidak dipakai)</t>
        </is>
      </c>
      <c r="L53" s="20" t="inlineStr">
        <is>
          <t>discussion.* (11 action)</t>
        </is>
      </c>
      <c r="M53" s="20" t="inlineStr">
        <is>
          <t>src/components/community/DiscussionForum.tsx; src/app/actions/discussion.ts</t>
        </is>
      </c>
      <c r="N53" s="20" t="inlineStr">
        <is>
          <t>Minggu B</t>
        </is>
      </c>
      <c r="O53" s="20" t="inlineStr">
        <is>
          <t>Seluruh forum disimpan sebagai satu nilai JSON per komunitas, sehingga dua postingan di saat bersamaan bisa saling menimpa.</t>
        </is>
      </c>
      <c r="P53" s="20" t="inlineStr">
        <is>
          <t>2026-08-27</t>
        </is>
      </c>
      <c r="Q53" s="20" t="inlineStr">
        <is>
          <t>2026-09-05</t>
        </is>
      </c>
      <c r="R53" s="20" t="n"/>
      <c r="S53" s="20" t="n"/>
      <c r="T53" s="20" t="n"/>
      <c r="U53" s="20" t="n"/>
      <c r="V53" s="20" t="n"/>
      <c r="W53" s="20" t="n"/>
      <c r="X53" s="20" t="inlineStr">
        <is>
          <t>Diskusi tidak terlihat oleh pengguna lain; suka &amp; komentar tidak berfungsi; hilang saat refresh</t>
        </is>
      </c>
      <c r="Y53" s="20" t="inlineStr">
        <is>
          <t>—</t>
        </is>
      </c>
      <c r="Z53" s="20" t="inlineStr">
        <is>
          <t>Terlihat lintas pengguna, suka/komentar aktif, data &amp; tab tetap saat refresh (2125df1, 93a0273)</t>
        </is>
      </c>
      <c r="AA53" s="20" t="inlineStr">
        <is>
          <t>2026-08-29</t>
        </is>
      </c>
      <c r="AB53" s="20" t="inlineStr">
        <is>
          <t>Diskusi/balasan baru sempat hilang sesaat</t>
        </is>
      </c>
      <c r="AC53" s="20" t="inlineStr">
        <is>
          <t>—</t>
        </is>
      </c>
      <c r="AD53" s="20" t="inlineStr">
        <is>
          <t>Langsung disimpan ke database (0a8a59d)</t>
        </is>
      </c>
      <c r="AE53" s="20" t="inlineStr">
        <is>
          <t>2026-09-05</t>
        </is>
      </c>
      <c r="AF53" s="20" t="n"/>
      <c r="AG53" s="20" t="n"/>
      <c r="AH53" s="20" t="n"/>
      <c r="AI53" s="20" t="n"/>
    </row>
    <row r="54" outlineLevel="2">
      <c r="A54" s="20" t="inlineStr">
        <is>
          <t>6.c.iii</t>
        </is>
      </c>
      <c r="B54" s="20" t="inlineStr">
        <is>
          <t>Komunitas</t>
        </is>
      </c>
      <c r="C54" s="20" t="inlineStr">
        <is>
          <t>Tab</t>
        </is>
      </c>
      <c r="D54" s="21" t="inlineStr">
        <is>
          <t>Pengumuman</t>
        </is>
      </c>
      <c r="E54" s="20" t="inlineStr">
        <is>
          <t>Quality Check</t>
        </is>
      </c>
      <c r="F54" s="20" t="inlineStr">
        <is>
          <t>Data asli; bagian dari QA Minggu B.</t>
        </is>
      </c>
      <c r="G54" s="20" t="inlineStr">
        <is>
          <t>https://saloka.id/community/[community-id]?view=dashboard&amp;tab=pengumuman</t>
        </is>
      </c>
      <c r="H54" s="20" t="inlineStr">
        <is>
          <t>Semua tipe &amp; template</t>
        </is>
      </c>
      <c r="I54" s="20" t="inlineStr">
        <is>
          <t>Pengumuman: buat, pin, publikasikan.</t>
        </is>
      </c>
      <c r="J54" s="20" t="inlineStr">
        <is>
          <t>Pengumuman</t>
        </is>
      </c>
      <c r="K54" s="20" t="inlineStr">
        <is>
          <t>Announcement</t>
        </is>
      </c>
      <c r="L54" s="20" t="inlineStr">
        <is>
          <t>announcements.*</t>
        </is>
      </c>
      <c r="M54" s="20" t="inlineStr">
        <is>
          <t>src/app/actions/announcements.ts</t>
        </is>
      </c>
      <c r="N54" s="20" t="inlineStr">
        <is>
          <t>Minggu B</t>
        </is>
      </c>
      <c r="O54" s="20" t="n"/>
      <c r="P54" s="20" t="inlineStr">
        <is>
          <t>2026-08-14</t>
        </is>
      </c>
      <c r="Q54" s="20" t="inlineStr">
        <is>
          <t>2026-09-13</t>
        </is>
      </c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  <c r="AI54" s="20" t="n"/>
    </row>
    <row r="55" outlineLevel="2">
      <c r="A55" s="20" t="inlineStr">
        <is>
          <t>6.c.iv</t>
        </is>
      </c>
      <c r="B55" s="20" t="inlineStr">
        <is>
          <t>Komunitas</t>
        </is>
      </c>
      <c r="C55" s="20" t="inlineStr">
        <is>
          <t>Tab</t>
        </is>
      </c>
      <c r="D55" s="21" t="inlineStr">
        <is>
          <t>Anggota</t>
        </is>
      </c>
      <c r="E55" s="20" t="inlineStr">
        <is>
          <t>Quality Check</t>
        </is>
      </c>
      <c r="F55" s="20" t="inlineStr">
        <is>
          <t>Perbaikan jumlah anggota belum di-commit.</t>
        </is>
      </c>
      <c r="G55" s="20" t="inlineStr">
        <is>
          <t>https://saloka.id/community/[community-id]?view=dashboard&amp;tab=anggota</t>
        </is>
      </c>
      <c r="H55" s="20" t="inlineStr">
        <is>
          <t>Koperasi (semua tier); Perkumpulan Society, Business, Culinary (tidak ada di menu Education)</t>
        </is>
      </c>
      <c r="I55" s="20" t="inlineStr">
        <is>
          <t>Daftar anggota; ketua/admin bisa mengeluarkan anggota.</t>
        </is>
      </c>
      <c r="J55" s="20" t="inlineStr">
        <is>
          <t>Anggota &amp; peran</t>
        </is>
      </c>
      <c r="K55" s="20" t="inlineStr">
        <is>
          <t>CommunityMembership (removedAt), User</t>
        </is>
      </c>
      <c r="L55" s="20" t="inlineStr">
        <is>
          <t>community.getIndukCommunityMembersAction, kickCommunityMemberAction</t>
        </is>
      </c>
      <c r="M55" s="20" t="inlineStr">
        <is>
          <t>src/app/community/[id]/CommunityDetailClient.tsx</t>
        </is>
      </c>
      <c r="N55" s="20" t="inlineStr">
        <is>
          <t>Minggu B</t>
        </is>
      </c>
      <c r="O55" s="20" t="n"/>
      <c r="P55" s="20" t="inlineStr">
        <is>
          <t>2026-06-18</t>
        </is>
      </c>
      <c r="Q55" s="20" t="inlineStr">
        <is>
          <t>2026-09-13</t>
        </is>
      </c>
      <c r="R55" s="20" t="n"/>
      <c r="S55" s="20" t="n"/>
      <c r="T55" s="20" t="n"/>
      <c r="U55" s="20" t="n"/>
      <c r="V55" s="20" t="n"/>
      <c r="W55" s="20" t="n"/>
      <c r="X55" s="20" t="inlineStr">
        <is>
          <t>Anggota yang dikeluarkan masih muncul di daftar setelah refresh</t>
        </is>
      </c>
      <c r="Y55" s="20" t="inlineStr">
        <is>
          <t>—</t>
        </is>
      </c>
      <c r="Z55" s="20" t="inlineStr">
        <is>
          <t>Data keanggotaan dihapus; daftar diperbarui (122a20d, 2d5bbed, 06e7ea5)</t>
        </is>
      </c>
      <c r="AA55" s="20" t="inlineStr">
        <is>
          <t>2026-08-23</t>
        </is>
      </c>
      <c r="AB55" s="20" t="n"/>
      <c r="AC55" s="20" t="n"/>
      <c r="AD55" s="20" t="n"/>
      <c r="AE55" s="20" t="n"/>
      <c r="AF55" s="20" t="inlineStr">
        <is>
          <t>Jumlah anggota ikut menghitung anggota yang dikeluarkan</t>
        </is>
      </c>
      <c r="AG55" s="20" t="inlineStr">
        <is>
          <t>—</t>
        </is>
      </c>
      <c r="AH55" s="20" t="inlineStr">
        <is>
          <t>Anggota yang dikeluarkan difilter; cache dibersihkan</t>
        </is>
      </c>
      <c r="AI55" s="20" t="inlineStr">
        <is>
          <t>Sedang dikerjakan (belum di-commit)</t>
        </is>
      </c>
    </row>
    <row r="56" outlineLevel="2">
      <c r="A56" s="20" t="inlineStr">
        <is>
          <t>6.c.v</t>
        </is>
      </c>
      <c r="B56" s="20" t="inlineStr">
        <is>
          <t>Komunitas</t>
        </is>
      </c>
      <c r="C56" s="20" t="inlineStr">
        <is>
          <t>Tab</t>
        </is>
      </c>
      <c r="D56" s="21" t="inlineStr">
        <is>
          <t>Produk Komunitas</t>
        </is>
      </c>
      <c r="E56" s="20" t="inlineStr">
        <is>
          <t>Quality Check</t>
        </is>
      </c>
      <c r="F56" s="20" t="inlineStr">
        <is>
          <t>Penyimpanan diperbaiki 5 Sep.</t>
        </is>
      </c>
      <c r="G56" s="20" t="inlineStr">
        <is>
          <t>https://saloka.id/community/[community-id]?view=dashboard&amp;tab=produk_komunitas</t>
        </is>
      </c>
      <c r="H56" s="20" t="inlineStr">
        <is>
          <t>Semua tipe &amp; template</t>
        </is>
      </c>
      <c r="I56" s="20" t="inlineStr">
        <is>
          <t>Produk resmi komunitas; Koperasi juga menampilkan produk koperasi.</t>
        </is>
      </c>
      <c r="J56" s="20" t="inlineStr">
        <is>
          <t>Produk resmi</t>
        </is>
      </c>
      <c r="K56" s="20" t="inlineStr">
        <is>
          <t>SystemSetting (JSON per komunitas); CooperativeProduct (Koperasi)</t>
        </is>
      </c>
      <c r="L56" s="20" t="inlineStr">
        <is>
          <t>community-products.*; community.create/update/deleteCooperativeProductAction</t>
        </is>
      </c>
      <c r="M56" s="20" t="inlineStr">
        <is>
          <t>src/app/actions/community-products.ts</t>
        </is>
      </c>
      <c r="N56" s="20" t="inlineStr">
        <is>
          <t>Minggu B</t>
        </is>
      </c>
      <c r="O56" s="20" t="inlineStr">
        <is>
          <t>Produk resmi disimpan sebagai satu nilai JSON per komunitas (risiko saling menimpa yang sama dengan Diskusi).</t>
        </is>
      </c>
      <c r="P56" s="20" t="inlineStr">
        <is>
          <t>2026-08-29</t>
        </is>
      </c>
      <c r="Q56" s="20" t="inlineStr">
        <is>
          <t>2026-09-13</t>
        </is>
      </c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  <c r="AA56" s="20" t="n"/>
      <c r="AB56" s="20" t="inlineStr">
        <is>
          <t>Produk resmi komunitas tidak tersimpan; modal tambah tidak ada</t>
        </is>
      </c>
      <c r="AC56" s="20" t="inlineStr">
        <is>
          <t>—</t>
        </is>
      </c>
      <c r="AD56" s="20" t="inlineStr">
        <is>
          <t>Modal + penyimpanan ke database (e14ef4d)</t>
        </is>
      </c>
      <c r="AE56" s="20" t="inlineStr">
        <is>
          <t>2026-09-05</t>
        </is>
      </c>
      <c r="AF56" s="20" t="n"/>
      <c r="AG56" s="20" t="n"/>
      <c r="AH56" s="20" t="n"/>
      <c r="AI56" s="20" t="n"/>
    </row>
    <row r="57" outlineLevel="2">
      <c r="A57" s="20" t="inlineStr">
        <is>
          <t>6.c.vi</t>
        </is>
      </c>
      <c r="B57" s="20" t="inlineStr">
        <is>
          <t>Komunitas</t>
        </is>
      </c>
      <c r="C57" s="20" t="inlineStr">
        <is>
          <t>Tab</t>
        </is>
      </c>
      <c r="D57" s="21" t="inlineStr">
        <is>
          <t>Produk Anggota / Marketplace</t>
        </is>
      </c>
      <c r="E57" s="20" t="inlineStr">
        <is>
          <t>Quality Check</t>
        </is>
      </c>
      <c r="F57" s="20" t="inlineStr">
        <is>
          <t>Modal tambah/edit diperbaiki 5 Sep.</t>
        </is>
      </c>
      <c r="G57" s="20" t="inlineStr">
        <is>
          <t>https://saloka.id/community/[community-id]?view=dashboard&amp;tab=marketplace</t>
        </is>
      </c>
      <c r="H57" s="20" t="inlineStr">
        <is>
          <t>Koperasi (“Marketplace”); Perkumpulan Business (“Produk UMKM”), Culinary (“Produk”), Society (“Produk Anggota”)</t>
        </is>
      </c>
      <c r="I57" s="20" t="inlineStr">
        <is>
          <t>Produk milik anggota yang ditampilkan di dalam komunitas.</t>
        </is>
      </c>
      <c r="J57" s="20" t="inlineStr">
        <is>
          <t>Produk anggota</t>
        </is>
      </c>
      <c r="K57" s="20" t="inlineStr">
        <is>
          <t>Product</t>
        </is>
      </c>
      <c r="L57" s="20" t="inlineStr">
        <is>
          <t>products.createMemberProductAction, updateMemberProductAction, deleteMemberProductAction</t>
        </is>
      </c>
      <c r="M57" s="20" t="inlineStr">
        <is>
          <t>src/app/actions/products.ts</t>
        </is>
      </c>
      <c r="N57" s="20" t="inlineStr">
        <is>
          <t>Minggu B</t>
        </is>
      </c>
      <c r="O57" s="20" t="n"/>
      <c r="P57" s="20" t="inlineStr">
        <is>
          <t>2026-05-30</t>
        </is>
      </c>
      <c r="Q57" s="20" t="inlineStr">
        <is>
          <t>2026-09-12</t>
        </is>
      </c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  <c r="AA57" s="20" t="n"/>
      <c r="AB57" s="20" t="inlineStr">
        <is>
          <t>Katalog produk anggota tidak punya modal tambah/edit</t>
        </is>
      </c>
      <c r="AC57" s="20" t="inlineStr">
        <is>
          <t>—</t>
        </is>
      </c>
      <c r="AD57" s="20" t="inlineStr">
        <is>
          <t>Modal dan handler ditambahkan (335f56e, e14ef4d)</t>
        </is>
      </c>
      <c r="AE57" s="20" t="inlineStr">
        <is>
          <t>2026-09-05</t>
        </is>
      </c>
      <c r="AF57" s="20" t="n"/>
      <c r="AG57" s="20" t="n"/>
      <c r="AH57" s="20" t="n"/>
      <c r="AI57" s="20" t="n"/>
    </row>
    <row r="58" outlineLevel="2">
      <c r="A58" s="20" t="inlineStr">
        <is>
          <t>6.c.vii</t>
        </is>
      </c>
      <c r="B58" s="20" t="inlineStr">
        <is>
          <t>Komunitas</t>
        </is>
      </c>
      <c r="C58" s="20" t="inlineStr">
        <is>
          <t>Tab</t>
        </is>
      </c>
      <c r="D58" s="21" t="inlineStr">
        <is>
          <t>Event</t>
        </is>
      </c>
      <c r="E58" s="20" t="inlineStr">
        <is>
          <t>Sedang Berjalan</t>
        </is>
      </c>
      <c r="F58" s="20" t="inlineStr">
        <is>
          <t>Tidak ada tabel database: event disimpan di memori server.</t>
        </is>
      </c>
      <c r="G58" s="20" t="inlineStr">
        <is>
          <t>https://saloka.id/community/[community-id]?view=dashboard&amp;tab=event</t>
        </is>
      </c>
      <c r="H58" s="20" t="inlineStr">
        <is>
          <t>Perkumpulan Society, Business, Education, Culinary (tidak ada di menu Koperasi)</t>
        </is>
      </c>
      <c r="I58" s="20" t="inlineStr">
        <is>
          <t>Daftar event, buat/edit, pendaftaran.</t>
        </is>
      </c>
      <c r="J58" s="20" t="inlineStr">
        <is>
          <t>Event &amp; pendaftar</t>
        </is>
      </c>
      <c r="K58" s="20" t="inlineStr">
        <is>
          <t>Tidak ada (tidak ada tabel CommunityEvent)</t>
        </is>
      </c>
      <c r="L58" s="20" t="inlineStr">
        <is>
          <t>community-events.*</t>
        </is>
      </c>
      <c r="M58" s="20" t="inlineStr">
        <is>
          <t>src/app/actions/community-events.ts</t>
        </is>
      </c>
      <c r="N58" s="20" t="inlineStr">
        <is>
          <t>Minggu B</t>
        </is>
      </c>
      <c r="O58" s="20" t="inlineStr">
        <is>
          <t>Setiap komunitas dimulai dengan 3 event contoh yang sama; event baru bisa hilang setelah redeploy/restart.</t>
        </is>
      </c>
      <c r="P58" s="20" t="inlineStr">
        <is>
          <t>2026-08-29</t>
        </is>
      </c>
      <c r="Q58" s="20" t="inlineStr">
        <is>
          <t>2026-09-13</t>
        </is>
      </c>
      <c r="R58" s="20" t="n"/>
      <c r="S58" s="20" t="n"/>
      <c r="T58" s="20" t="n"/>
      <c r="U58" s="20" t="n"/>
      <c r="V58" s="20" t="n"/>
      <c r="W58" s="20" t="n"/>
      <c r="X58" s="20" t="inlineStr">
        <is>
          <t>Tombol edit event tidak berfungsi</t>
        </is>
      </c>
      <c r="Y58" s="20" t="inlineStr">
        <is>
          <t>—</t>
        </is>
      </c>
      <c r="Z58" s="20" t="inlineStr">
        <is>
          <t>Modal edit ditambahkan (e88cd8f)</t>
        </is>
      </c>
      <c r="AA58" s="20" t="inlineStr">
        <is>
          <t>2026-08-30</t>
        </is>
      </c>
      <c r="AB58" s="20" t="n"/>
      <c r="AC58" s="20" t="n"/>
      <c r="AD58" s="20" t="n"/>
      <c r="AE58" s="20" t="n"/>
      <c r="AF58" s="20" t="n"/>
      <c r="AG58" s="20" t="n"/>
      <c r="AH58" s="20" t="n"/>
      <c r="AI58" s="20" t="n"/>
    </row>
    <row r="59" outlineLevel="2">
      <c r="A59" s="20" t="inlineStr">
        <is>
          <t>6.c.viii</t>
        </is>
      </c>
      <c r="B59" s="20" t="inlineStr">
        <is>
          <t>Komunitas</t>
        </is>
      </c>
      <c r="C59" s="20" t="inlineStr">
        <is>
          <t>Tab</t>
        </is>
      </c>
      <c r="D59" s="21" t="inlineStr">
        <is>
          <t>Galeri</t>
        </is>
      </c>
      <c r="E59" s="20" t="inlineStr">
        <is>
          <t>Quality Check</t>
        </is>
      </c>
      <c r="F59" s="20" t="inlineStr">
        <is>
          <t>Penyimpanan diperbaiki 5 Sep.</t>
        </is>
      </c>
      <c r="G59" s="20" t="inlineStr">
        <is>
          <t>https://saloka.id/community/[community-id]?view=dashboard&amp;tab=galeri</t>
        </is>
      </c>
      <c r="H59" s="20" t="inlineStr">
        <is>
          <t>Perkumpulan Society, Culinary</t>
        </is>
      </c>
      <c r="I59" s="20" t="inlineStr">
        <is>
          <t>Galeri foto dengan lightbox; tambah/hapus.</t>
        </is>
      </c>
      <c r="J59" s="20" t="inlineStr">
        <is>
          <t>Item galeri</t>
        </is>
      </c>
      <c r="K59" s="20" t="inlineStr">
        <is>
          <t>SystemSetting (JSON per komunitas)</t>
        </is>
      </c>
      <c r="L59" s="20" t="inlineStr">
        <is>
          <t>community-gallery.*</t>
        </is>
      </c>
      <c r="M59" s="20" t="inlineStr">
        <is>
          <t>src/app/actions/community-gallery.ts</t>
        </is>
      </c>
      <c r="N59" s="20" t="inlineStr">
        <is>
          <t>Minggu B</t>
        </is>
      </c>
      <c r="O59" s="20" t="inlineStr">
        <is>
          <t>Disimpan sebagai satu nilai JSON per komunitas (risiko saling menimpa yang sama dengan Diskusi).</t>
        </is>
      </c>
      <c r="P59" s="20" t="inlineStr">
        <is>
          <t>2026-08-29</t>
        </is>
      </c>
      <c r="Q59" s="20" t="inlineStr">
        <is>
          <t>2026-09-09</t>
        </is>
      </c>
      <c r="R59" s="20" t="n"/>
      <c r="S59" s="20" t="n"/>
      <c r="T59" s="20" t="n"/>
      <c r="U59" s="20" t="n"/>
      <c r="V59" s="20" t="n"/>
      <c r="W59" s="20" t="n"/>
      <c r="X59" s="20" t="inlineStr">
        <is>
          <t>Tombol edit galeri tidak berfungsi</t>
        </is>
      </c>
      <c r="Y59" s="20" t="inlineStr">
        <is>
          <t>—</t>
        </is>
      </c>
      <c r="Z59" s="20" t="inlineStr">
        <is>
          <t>Modal edit ditambahkan (e88cd8f)</t>
        </is>
      </c>
      <c r="AA59" s="20" t="inlineStr">
        <is>
          <t>2026-08-30</t>
        </is>
      </c>
      <c r="AB59" s="20" t="inlineStr">
        <is>
          <t>Galeri ter-reset setelah refresh; tombol lightbox tidak merespons</t>
        </is>
      </c>
      <c r="AC59" s="20" t="inlineStr">
        <is>
          <t>—</t>
        </is>
      </c>
      <c r="AD59" s="20" t="inlineStr">
        <is>
          <t>Disimpan ke database; tombol diperbaiki (a7afe8b, 1370479)</t>
        </is>
      </c>
      <c r="AE59" s="20" t="inlineStr">
        <is>
          <t>2026-09-05</t>
        </is>
      </c>
      <c r="AF59" s="20" t="n"/>
      <c r="AG59" s="20" t="n"/>
      <c r="AH59" s="20" t="n"/>
      <c r="AI59" s="20" t="n"/>
    </row>
    <row r="60" outlineLevel="2">
      <c r="A60" s="20" t="inlineStr">
        <is>
          <t>6.c.ix</t>
        </is>
      </c>
      <c r="B60" s="20" t="inlineStr">
        <is>
          <t>Komunitas</t>
        </is>
      </c>
      <c r="C60" s="20" t="inlineStr">
        <is>
          <t>Tab</t>
        </is>
      </c>
      <c r="D60" s="21" t="inlineStr">
        <is>
          <t>Aktivitas</t>
        </is>
      </c>
      <c r="E60" s="20" t="inlineStr">
        <is>
          <t>Quality Check</t>
        </is>
      </c>
      <c r="F60" s="20" t="inlineStr">
        <is>
          <t>Dibentuk dari data modul lain.</t>
        </is>
      </c>
      <c r="G60" s="20" t="inlineStr">
        <is>
          <t>https://saloka.id/community/[community-id]?view=dashboard&amp;tab=aktivitas</t>
        </is>
      </c>
      <c r="H60" s="20" t="inlineStr">
        <is>
          <t>Perkumpulan Society</t>
        </is>
      </c>
      <c r="I60" s="20" t="inlineStr">
        <is>
          <t>Linimasa kejadian di komunitas.</t>
        </is>
      </c>
      <c r="J60" s="20" t="inlineStr">
        <is>
          <t>Diambil dari diskusi, event, produk, dll.</t>
        </is>
      </c>
      <c r="K60" s="20" t="n"/>
      <c r="L60" s="20" t="n"/>
      <c r="M60" s="20" t="inlineStr">
        <is>
          <t>src/app/community/[id]/CommunityDetailClient.tsx</t>
        </is>
      </c>
      <c r="N60" s="20" t="inlineStr">
        <is>
          <t>Minggu B</t>
        </is>
      </c>
      <c r="O60" s="20" t="n"/>
      <c r="P60" s="20" t="inlineStr">
        <is>
          <t>2026-06-18</t>
        </is>
      </c>
      <c r="Q60" s="20" t="inlineStr">
        <is>
          <t>2026-09-13</t>
        </is>
      </c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  <c r="AH60" s="20" t="n"/>
      <c r="AI60" s="20" t="n"/>
    </row>
    <row r="61" outlineLevel="2">
      <c r="A61" s="20" t="inlineStr">
        <is>
          <t>6.c.x</t>
        </is>
      </c>
      <c r="B61" s="20" t="inlineStr">
        <is>
          <t>Komunitas</t>
        </is>
      </c>
      <c r="C61" s="20" t="inlineStr">
        <is>
          <t>Tab</t>
        </is>
      </c>
      <c r="D61" s="21" t="inlineStr">
        <is>
          <t>Tentang</t>
        </is>
      </c>
      <c r="E61" s="20" t="inlineStr">
        <is>
          <t>Quality Check</t>
        </is>
      </c>
      <c r="F61" s="20" t="inlineStr">
        <is>
          <t>Data asli; bagian dari QA Minggu B.</t>
        </is>
      </c>
      <c r="G61" s="20" t="inlineStr">
        <is>
          <t>https://saloka.id/community/[community-id]?view=dashboard&amp;tab=tentang</t>
        </is>
      </c>
      <c r="H61" s="20" t="inlineStr">
        <is>
          <t>Semua tipe &amp; template</t>
        </is>
      </c>
      <c r="I61" s="20" t="inlineStr">
        <is>
          <t>Tentang komunitas, kepengurusan (ketua), dan dokumen legal.</t>
        </is>
      </c>
      <c r="J61" s="20" t="inlineStr">
        <is>
          <t>Profil &amp; field legal komunitas</t>
        </is>
      </c>
      <c r="K61" s="20" t="inlineStr">
        <is>
          <t>Community</t>
        </is>
      </c>
      <c r="L61" s="20" t="n"/>
      <c r="M61" s="20" t="inlineStr">
        <is>
          <t>src/app/community/[id]/CommunityDetailClient.tsx</t>
        </is>
      </c>
      <c r="N61" s="20" t="inlineStr">
        <is>
          <t>Minggu B</t>
        </is>
      </c>
      <c r="O61" s="20" t="n"/>
      <c r="P61" s="20" t="inlineStr">
        <is>
          <t>2026-06-18</t>
        </is>
      </c>
      <c r="Q61" s="20" t="inlineStr">
        <is>
          <t>2026-09-13</t>
        </is>
      </c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0" t="n"/>
      <c r="AH61" s="20" t="n"/>
      <c r="AI61" s="20" t="n"/>
    </row>
    <row r="62" outlineLevel="2">
      <c r="A62" s="20" t="inlineStr">
        <is>
          <t>6.c.xi</t>
        </is>
      </c>
      <c r="B62" s="20" t="inlineStr">
        <is>
          <t>Komunitas</t>
        </is>
      </c>
      <c r="C62" s="20" t="inlineStr">
        <is>
          <t>Tab</t>
        </is>
      </c>
      <c r="D62" s="21" t="inlineStr">
        <is>
          <t>Simpanan</t>
        </is>
      </c>
      <c r="E62" s="20" t="inlineStr">
        <is>
          <t>Quality Check</t>
        </is>
      </c>
      <c r="F62" s="20" t="inlineStr">
        <is>
          <t>Pembayaran DOKU ditambahkan 12 Sep.</t>
        </is>
      </c>
      <c r="G62" s="20" t="inlineStr">
        <is>
          <t>https://saloka.id/community/[community-id]?view=dashboard&amp;tab=simpanan</t>
        </is>
      </c>
      <c r="H62" s="20" t="inlineStr">
        <is>
          <t>Hanya Koperasi (sukarela: Premium &amp; Max)</t>
        </is>
      </c>
      <c r="I62" s="20" t="inlineStr">
        <is>
          <t>Simpanan anggota: simpanan pokok &amp; wajib (semua tier Koperasi), simpanan sukarela (Premium &amp; Max); bayar dengan wallet atau DOKU; riwayat.</t>
        </is>
      </c>
      <c r="J62" s="20" t="inlineStr">
        <is>
          <t>Transaksi &amp; total simpanan</t>
        </is>
      </c>
      <c r="K62" s="20" t="inlineStr">
        <is>
          <t>CooperativeSavingsTransaction (orderId unique), CommunityMembership, Wallet, WalletTransaction</t>
        </is>
      </c>
      <c r="L62" s="20" t="inlineStr">
        <is>
          <t>savings.recordSavingsTransactionAction, paySavingsViaWalletAction, getCommunitySavingsSummaryAction; /api/payment/checkout (SAVINGS)</t>
        </is>
      </c>
      <c r="M62" s="20" t="inlineStr">
        <is>
          <t>src/app/actions/savings.ts</t>
        </is>
      </c>
      <c r="N62" s="20" t="inlineStr">
        <is>
          <t>Minggu B</t>
        </is>
      </c>
      <c r="O62" s="20" t="n"/>
      <c r="P62" s="20" t="inlineStr">
        <is>
          <t>2026-08-12</t>
        </is>
      </c>
      <c r="Q62" s="20" t="inlineStr">
        <is>
          <t>2026-09-13</t>
        </is>
      </c>
      <c r="R62" s="20" t="n"/>
      <c r="S62" s="20" t="n"/>
      <c r="T62" s="20" t="inlineStr">
        <is>
          <t>Anggota tidak bisa mencatat setoran sendiri; kartu &amp; riwayat simpanan tidak dari database</t>
        </is>
      </c>
      <c r="U62" s="20" t="inlineStr">
        <is>
          <t>—</t>
        </is>
      </c>
      <c r="V62" s="20" t="inlineStr">
        <is>
          <t>Setoran mandiri diaktifkan; ringkasan &amp; riwayat dari database (06f7d80, 7daa37e, c9728e3)</t>
        </is>
      </c>
      <c r="W62" s="20" t="inlineStr">
        <is>
          <t>2026-08-12</t>
        </is>
      </c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  <c r="AI62" s="20" t="n"/>
    </row>
    <row r="63" outlineLevel="2">
      <c r="A63" s="20" t="inlineStr">
        <is>
          <t>6.c.xii</t>
        </is>
      </c>
      <c r="B63" s="20" t="inlineStr">
        <is>
          <t>Komunitas</t>
        </is>
      </c>
      <c r="C63" s="20" t="inlineStr">
        <is>
          <t>Tab</t>
        </is>
      </c>
      <c r="D63" s="21" t="inlineStr">
        <is>
          <t>SHU</t>
        </is>
      </c>
      <c r="E63" s="20" t="inlineStr">
        <is>
          <t>Quality Check</t>
        </is>
      </c>
      <c r="F63" s="20" t="inlineStr">
        <is>
          <t>Perbaikan rumus 12–15 Agu; transfer ke wallet belum dibuat.</t>
        </is>
      </c>
      <c r="G63" s="20" t="inlineStr">
        <is>
          <t>https://saloka.id/community/[community-id]?view=dashboard&amp;tab=shu</t>
        </is>
      </c>
      <c r="H63" s="20" t="inlineStr">
        <is>
          <t>Hanya Koperasi (semua tier)</t>
        </is>
      </c>
      <c r="I63" s="20" t="inlineStr">
        <is>
          <t>Sisa hasil usaha: atur % Jasa Modal / Jasa Usaha, hitung &amp; simpan distribusi per anggota; anggota melihat estimasinya.</t>
        </is>
      </c>
      <c r="J63" s="20" t="inlineStr">
        <is>
          <t>Konfigurasi SHU &amp; distribusi anggota</t>
        </is>
      </c>
      <c r="K63" s="20" t="inlineStr">
        <is>
          <t>ShuConfig, ShuMemberDistribution, CommunityMembership</t>
        </is>
      </c>
      <c r="L63" s="20" t="inlineStr">
        <is>
          <t>shu.calculateAndSaveShuAction, getCommunityShuDataAction, getUserShuSummaryAction</t>
        </is>
      </c>
      <c r="M63" s="20" t="inlineStr">
        <is>
          <t>src/lib/shu-calculator.ts</t>
        </is>
      </c>
      <c r="N63" s="20" t="inlineStr">
        <is>
          <t>Minggu B</t>
        </is>
      </c>
      <c r="O63" s="20" t="inlineStr">
        <is>
          <t>SHU dihitung tetapi tidak ditransfer ke wallet anggota (Phase 6).</t>
        </is>
      </c>
      <c r="P63" s="20" t="inlineStr">
        <is>
          <t>2026-07-22</t>
        </is>
      </c>
      <c r="Q63" s="20" t="inlineStr">
        <is>
          <t>2026-09-13</t>
        </is>
      </c>
      <c r="R63" s="20" t="n"/>
      <c r="S63" s="20" t="n"/>
      <c r="T63" s="20" t="inlineStr">
        <is>
          <t>1. SHU tampil 0 untuk anggota dan rumus distribusi salah
2. Anggota tidak melihat SHU sebelum distribusi final; pemetaan merchant untuk pesanan selesai salah</t>
        </is>
      </c>
      <c r="U63" s="20" t="inlineStr">
        <is>
          <t>1. —
2. —</t>
        </is>
      </c>
      <c r="V63" s="20" t="inlineStr">
        <is>
          <t>1. Anggota terbaca benar; rumus proporsional; validasi total 100% (2dd43ca, d4c6e1c, 74562fd)
2. Estimasi SHU ditampilkan; pemetaan diperbaiki (0451f94, 0a1eb15)</t>
        </is>
      </c>
      <c r="W63" s="20" t="inlineStr">
        <is>
          <t>1. 2026-08-12
2. 2026-08-15</t>
        </is>
      </c>
      <c r="X63" s="20" t="n"/>
      <c r="Y63" s="20" t="n"/>
      <c r="Z63" s="20" t="n"/>
      <c r="AA63" s="20" t="n"/>
      <c r="AB63" s="20" t="n"/>
      <c r="AC63" s="20" t="n"/>
      <c r="AD63" s="20" t="n"/>
      <c r="AE63" s="20" t="n"/>
      <c r="AF63" s="20" t="n"/>
      <c r="AG63" s="20" t="n"/>
      <c r="AH63" s="20" t="n"/>
      <c r="AI63" s="20" t="n"/>
    </row>
    <row r="64" outlineLevel="2">
      <c r="A64" s="20" t="inlineStr">
        <is>
          <t>6.c.xiii</t>
        </is>
      </c>
      <c r="B64" s="20" t="inlineStr">
        <is>
          <t>Komunitas</t>
        </is>
      </c>
      <c r="C64" s="20" t="inlineStr">
        <is>
          <t>Tab</t>
        </is>
      </c>
      <c r="D64" s="21" t="inlineStr">
        <is>
          <t>Laporan</t>
        </is>
      </c>
      <c r="E64" s="20" t="inlineStr">
        <is>
          <t>Quality Check</t>
        </is>
      </c>
      <c r="F64" s="20" t="inlineStr">
        <is>
          <t>Data asli; bagian dari QA Minggu B.</t>
        </is>
      </c>
      <c r="G64" s="20" t="inlineStr">
        <is>
          <t>https://saloka.id/community/[community-id]?view=dashboard&amp;tab=laporan</t>
        </is>
      </c>
      <c r="H64" s="20" t="inlineStr">
        <is>
          <t>Hanya Koperasi</t>
        </is>
      </c>
      <c r="I64" s="20" t="inlineStr">
        <is>
          <t>Laporan koperasi: buat, edit, publikasikan.</t>
        </is>
      </c>
      <c r="J64" s="20" t="inlineStr">
        <is>
          <t>Laporan</t>
        </is>
      </c>
      <c r="K64" s="20" t="inlineStr">
        <is>
          <t>CooperativeReport</t>
        </is>
      </c>
      <c r="L64" s="20" t="inlineStr">
        <is>
          <t>reports.*</t>
        </is>
      </c>
      <c r="M64" s="20" t="inlineStr">
        <is>
          <t>src/app/actions/reports.ts</t>
        </is>
      </c>
      <c r="N64" s="20" t="inlineStr">
        <is>
          <t>Minggu B</t>
        </is>
      </c>
      <c r="O64" s="20" t="n"/>
      <c r="P64" s="20" t="inlineStr">
        <is>
          <t>2026-08-14</t>
        </is>
      </c>
      <c r="Q64" s="20" t="inlineStr">
        <is>
          <t>2026-09-13</t>
        </is>
      </c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  <c r="AA64" s="20" t="n"/>
      <c r="AB64" s="20" t="n"/>
      <c r="AC64" s="20" t="n"/>
      <c r="AD64" s="20" t="n"/>
      <c r="AE64" s="20" t="n"/>
      <c r="AF64" s="20" t="n"/>
      <c r="AG64" s="20" t="n"/>
      <c r="AH64" s="20" t="n"/>
      <c r="AI64" s="20" t="n"/>
    </row>
    <row r="65" outlineLevel="2">
      <c r="A65" s="20" t="inlineStr">
        <is>
          <t>6.c.xiv</t>
        </is>
      </c>
      <c r="B65" s="20" t="inlineStr">
        <is>
          <t>Komunitas</t>
        </is>
      </c>
      <c r="C65" s="20" t="inlineStr">
        <is>
          <t>Tab</t>
        </is>
      </c>
      <c r="D65" s="21" t="inlineStr">
        <is>
          <t>Pendanaan</t>
        </is>
      </c>
      <c r="E65" s="20" t="inlineStr">
        <is>
          <t>Sedang Berjalan</t>
        </is>
      </c>
      <c r="F65" s="20" t="inlineStr">
        <is>
          <t>Pinjaman bisa disetujui tetapi tidak pernah dicairkan.</t>
        </is>
      </c>
      <c r="G65" s="20" t="inlineStr">
        <is>
          <t>https://saloka.id/community/[community-id]?view=dashboard&amp;tab=pendanaan</t>
        </is>
      </c>
      <c r="H65" s="20" t="inlineStr">
        <is>
          <t>Hanya Koperasi Max (PRO); tier lain melihat “Fitur Pendanaan Belum Aktif”</t>
        </is>
      </c>
      <c r="I65" s="20" t="inlineStr">
        <is>
          <t>Proyek pendanaan merchant dan pengajuan pinjaman anggota.</t>
        </is>
      </c>
      <c r="J65" s="20" t="inlineStr">
        <is>
          <t>Proyek pendanaan, pengajuan pinjaman</t>
        </is>
      </c>
      <c r="K65" s="20" t="inlineStr">
        <is>
          <t>MerchantFundingProject, CooperativeLoan</t>
        </is>
      </c>
      <c r="L65" s="20" t="inlineStr">
        <is>
          <t>community.get/create/deleteMerchantFundingProjectAction, submit/approve/rejectCooperativeLoanAction</t>
        </is>
      </c>
      <c r="M65" s="20" t="inlineStr">
        <is>
          <t>src/app/community/[id]/CommunityDetailClient.tsx</t>
        </is>
      </c>
      <c r="N65" s="20" t="inlineStr">
        <is>
          <t>Minggu B</t>
        </is>
      </c>
      <c r="O65" s="20" t="inlineStr">
        <is>
          <t>Pencairan pinjaman belum dibuat (Phase 6); batasan tier tidak ditegakkan di server.</t>
        </is>
      </c>
      <c r="P65" s="20" t="inlineStr">
        <is>
          <t>2026-06-18</t>
        </is>
      </c>
      <c r="Q65" s="20" t="inlineStr">
        <is>
          <t>2026-09-13</t>
        </is>
      </c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  <c r="AA65" s="20" t="n"/>
      <c r="AB65" s="20" t="n"/>
      <c r="AC65" s="20" t="n"/>
      <c r="AD65" s="20" t="n"/>
      <c r="AE65" s="20" t="n"/>
      <c r="AF65" s="20" t="n"/>
      <c r="AG65" s="20" t="n"/>
      <c r="AH65" s="20" t="n"/>
      <c r="AI65" s="20" t="n"/>
    </row>
    <row r="66" outlineLevel="2">
      <c r="A66" s="20" t="inlineStr">
        <is>
          <t>6.c.xv</t>
        </is>
      </c>
      <c r="B66" s="20" t="inlineStr">
        <is>
          <t>Komunitas</t>
        </is>
      </c>
      <c r="C66" s="20" t="inlineStr">
        <is>
          <t>Tab</t>
        </is>
      </c>
      <c r="D66" s="21" t="inlineStr">
        <is>
          <t>Business Matching</t>
        </is>
      </c>
      <c r="E66" s="20" t="inlineStr">
        <is>
          <t>Belum Dimulai</t>
        </is>
      </c>
      <c r="F66" s="20" t="inlineStr">
        <is>
          <t>Tab hanya menampilkan placeholder "Segera Hadir" (ComingSoonTab); belum ada backend. Diverifikasi ulang 30 Sep.</t>
        </is>
      </c>
      <c r="G66" s="20" t="inlineStr">
        <is>
          <t>https://saloka.id/community/[community-id]?view=dashboard&amp;tab=business_matching</t>
        </is>
      </c>
      <c r="H66" s="20" t="inlineStr">
        <is>
          <t>Perkumpulan Business</t>
        </is>
      </c>
      <c r="I66" s="20" t="inlineStr">
        <is>
          <t>Hanya placeholder.</t>
        </is>
      </c>
      <c r="J66" s="20" t="n"/>
      <c r="K66" s="20" t="n"/>
      <c r="L66" s="20" t="n"/>
      <c r="M66" s="20" t="inlineStr">
        <is>
          <t>src/app/community/[id]/CommunityDetailClient.tsx</t>
        </is>
      </c>
      <c r="N66" s="20" t="inlineStr">
        <is>
          <t>Minggu B</t>
        </is>
      </c>
      <c r="O66" s="20" t="inlineStr">
        <is>
          <t>Modul belum dibangun — bangun, atau sembunyikan lewat Feature Control sampai siap.</t>
        </is>
      </c>
      <c r="P66" s="20" t="inlineStr">
        <is>
          <t>2026-06-18</t>
        </is>
      </c>
      <c r="Q66" s="20" t="inlineStr">
        <is>
          <t>2026-09-13</t>
        </is>
      </c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D66" s="20" t="n"/>
      <c r="AE66" s="20" t="n"/>
      <c r="AF66" s="20" t="n"/>
      <c r="AG66" s="20" t="n"/>
      <c r="AH66" s="20" t="n"/>
      <c r="AI66" s="20" t="n"/>
    </row>
    <row r="67" outlineLevel="2">
      <c r="A67" s="20" t="inlineStr">
        <is>
          <t>6.c.xvi</t>
        </is>
      </c>
      <c r="B67" s="20" t="inlineStr">
        <is>
          <t>Komunitas</t>
        </is>
      </c>
      <c r="C67" s="20" t="inlineStr">
        <is>
          <t>Tab</t>
        </is>
      </c>
      <c r="D67" s="21" t="inlineStr">
        <is>
          <t>Pelatihan</t>
        </is>
      </c>
      <c r="E67" s="20" t="inlineStr">
        <is>
          <t>Belum Dimulai</t>
        </is>
      </c>
      <c r="F67" s="20" t="inlineStr">
        <is>
          <t>Tab hanya menampilkan placeholder "Segera Hadir" (ComingSoonTab); belum ada backend. Diverifikasi ulang 30 Sep.</t>
        </is>
      </c>
      <c r="G67" s="20" t="inlineStr">
        <is>
          <t>https://saloka.id/community/[community-id]?view=dashboard&amp;tab=pelatihan</t>
        </is>
      </c>
      <c r="H67" s="20" t="inlineStr">
        <is>
          <t>Perkumpulan Business</t>
        </is>
      </c>
      <c r="I67" s="20" t="inlineStr">
        <is>
          <t>Hanya placeholder.</t>
        </is>
      </c>
      <c r="J67" s="20" t="n"/>
      <c r="K67" s="20" t="n"/>
      <c r="L67" s="20" t="n"/>
      <c r="M67" s="20" t="inlineStr">
        <is>
          <t>src/app/community/[id]/CommunityDetailClient.tsx</t>
        </is>
      </c>
      <c r="N67" s="20" t="inlineStr">
        <is>
          <t>Minggu B</t>
        </is>
      </c>
      <c r="O67" s="20" t="inlineStr">
        <is>
          <t>Modul belum dibangun — bangun, atau sembunyikan lewat Feature Control sampai siap.</t>
        </is>
      </c>
      <c r="P67" s="20" t="inlineStr">
        <is>
          <t>2026-06-18</t>
        </is>
      </c>
      <c r="Q67" s="20" t="inlineStr">
        <is>
          <t>2026-09-13</t>
        </is>
      </c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  <c r="AA67" s="20" t="n"/>
      <c r="AB67" s="20" t="n"/>
      <c r="AC67" s="20" t="n"/>
      <c r="AD67" s="20" t="n"/>
      <c r="AE67" s="20" t="n"/>
      <c r="AF67" s="20" t="n"/>
      <c r="AG67" s="20" t="n"/>
      <c r="AH67" s="20" t="n"/>
      <c r="AI67" s="20" t="n"/>
    </row>
    <row r="68" outlineLevel="2">
      <c r="A68" s="20" t="inlineStr">
        <is>
          <t>6.c.xvii</t>
        </is>
      </c>
      <c r="B68" s="20" t="inlineStr">
        <is>
          <t>Komunitas</t>
        </is>
      </c>
      <c r="C68" s="20" t="inlineStr">
        <is>
          <t>Tab</t>
        </is>
      </c>
      <c r="D68" s="21" t="inlineStr">
        <is>
          <t>Mentor</t>
        </is>
      </c>
      <c r="E68" s="20" t="inlineStr">
        <is>
          <t>Belum Dimulai</t>
        </is>
      </c>
      <c r="F68" s="20" t="inlineStr">
        <is>
          <t>Tab hanya menampilkan placeholder "Segera Hadir" (ComingSoonTab); belum ada backend. Diverifikasi ulang 30 Sep.</t>
        </is>
      </c>
      <c r="G68" s="20" t="inlineStr">
        <is>
          <t>https://saloka.id/community/[community-id]?view=dashboard&amp;tab=mentor</t>
        </is>
      </c>
      <c r="H68" s="20" t="inlineStr">
        <is>
          <t>Perkumpulan Business, Education</t>
        </is>
      </c>
      <c r="I68" s="20" t="inlineStr">
        <is>
          <t>Hanya placeholder.</t>
        </is>
      </c>
      <c r="J68" s="20" t="n"/>
      <c r="K68" s="20" t="n"/>
      <c r="L68" s="20" t="n"/>
      <c r="M68" s="20" t="inlineStr">
        <is>
          <t>src/app/community/[id]/CommunityDetailClient.tsx</t>
        </is>
      </c>
      <c r="N68" s="20" t="inlineStr">
        <is>
          <t>Minggu B</t>
        </is>
      </c>
      <c r="O68" s="20" t="inlineStr">
        <is>
          <t>Modul belum dibangun — bangun, atau sembunyikan lewat Feature Control sampai siap.</t>
        </is>
      </c>
      <c r="P68" s="20" t="inlineStr">
        <is>
          <t>2026-06-18</t>
        </is>
      </c>
      <c r="Q68" s="20" t="inlineStr">
        <is>
          <t>2026-09-13</t>
        </is>
      </c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  <c r="AI68" s="20" t="n"/>
    </row>
    <row r="69" outlineLevel="2">
      <c r="A69" s="20" t="inlineStr">
        <is>
          <t>6.c.xviii</t>
        </is>
      </c>
      <c r="B69" s="20" t="inlineStr">
        <is>
          <t>Komunitas</t>
        </is>
      </c>
      <c r="C69" s="20" t="inlineStr">
        <is>
          <t>Tab</t>
        </is>
      </c>
      <c r="D69" s="21" t="inlineStr">
        <is>
          <t>Kolaborasi</t>
        </is>
      </c>
      <c r="E69" s="20" t="inlineStr">
        <is>
          <t>Belum Dimulai</t>
        </is>
      </c>
      <c r="F69" s="20" t="inlineStr">
        <is>
          <t>Tab hanya menampilkan placeholder "Segera Hadir" (ComingSoonTab); belum ada backend. Diverifikasi ulang 30 Sep.</t>
        </is>
      </c>
      <c r="G69" s="20" t="inlineStr">
        <is>
          <t>https://saloka.id/community/[community-id]?view=dashboard&amp;tab=kolaborasi</t>
        </is>
      </c>
      <c r="H69" s="20" t="inlineStr">
        <is>
          <t>Perkumpulan Business</t>
        </is>
      </c>
      <c r="I69" s="20" t="inlineStr">
        <is>
          <t>Hanya placeholder.</t>
        </is>
      </c>
      <c r="J69" s="20" t="n"/>
      <c r="K69" s="20" t="n"/>
      <c r="L69" s="20" t="n"/>
      <c r="M69" s="20" t="inlineStr">
        <is>
          <t>src/app/community/[id]/CommunityDetailClient.tsx</t>
        </is>
      </c>
      <c r="N69" s="20" t="inlineStr">
        <is>
          <t>Minggu B</t>
        </is>
      </c>
      <c r="O69" s="20" t="inlineStr">
        <is>
          <t>Modul belum dibangun — bangun, atau sembunyikan lewat Feature Control sampai siap.</t>
        </is>
      </c>
      <c r="P69" s="20" t="inlineStr">
        <is>
          <t>2026-06-18</t>
        </is>
      </c>
      <c r="Q69" s="20" t="inlineStr">
        <is>
          <t>2026-09-13</t>
        </is>
      </c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  <c r="AA69" s="20" t="n"/>
      <c r="AB69" s="20" t="n"/>
      <c r="AC69" s="20" t="n"/>
      <c r="AD69" s="20" t="n"/>
      <c r="AE69" s="20" t="n"/>
      <c r="AF69" s="20" t="n"/>
      <c r="AG69" s="20" t="n"/>
      <c r="AH69" s="20" t="n"/>
      <c r="AI69" s="20" t="n"/>
    </row>
    <row r="70" outlineLevel="2">
      <c r="A70" s="20" t="inlineStr">
        <is>
          <t>6.c.xix</t>
        </is>
      </c>
      <c r="B70" s="20" t="inlineStr">
        <is>
          <t>Komunitas</t>
        </is>
      </c>
      <c r="C70" s="20" t="inlineStr">
        <is>
          <t>Tab</t>
        </is>
      </c>
      <c r="D70" s="21" t="inlineStr">
        <is>
          <t>Kelas</t>
        </is>
      </c>
      <c r="E70" s="20" t="inlineStr">
        <is>
          <t>Belum Dimulai</t>
        </is>
      </c>
      <c r="F70" s="20" t="inlineStr">
        <is>
          <t>Tab hanya menampilkan placeholder "Segera Hadir" (ComingSoonTab); belum ada backend. Diverifikasi ulang 30 Sep.</t>
        </is>
      </c>
      <c r="G70" s="20" t="inlineStr">
        <is>
          <t>https://saloka.id/community/[community-id]?view=dashboard&amp;tab=kelas</t>
        </is>
      </c>
      <c r="H70" s="20" t="inlineStr">
        <is>
          <t>Perkumpulan Education</t>
        </is>
      </c>
      <c r="I70" s="20" t="inlineStr">
        <is>
          <t>Hanya placeholder.</t>
        </is>
      </c>
      <c r="J70" s="20" t="n"/>
      <c r="K70" s="20" t="n"/>
      <c r="L70" s="20" t="n"/>
      <c r="M70" s="20" t="inlineStr">
        <is>
          <t>src/app/community/[id]/CommunityDetailClient.tsx</t>
        </is>
      </c>
      <c r="N70" s="20" t="inlineStr">
        <is>
          <t>Minggu B</t>
        </is>
      </c>
      <c r="O70" s="20" t="inlineStr">
        <is>
          <t>Modul belum dibangun — bangun, atau sembunyikan lewat Feature Control sampai siap.</t>
        </is>
      </c>
      <c r="P70" s="20" t="inlineStr">
        <is>
          <t>2026-06-18</t>
        </is>
      </c>
      <c r="Q70" s="20" t="inlineStr">
        <is>
          <t>2026-09-13</t>
        </is>
      </c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  <c r="AA70" s="20" t="n"/>
      <c r="AB70" s="20" t="n"/>
      <c r="AC70" s="20" t="n"/>
      <c r="AD70" s="20" t="n"/>
      <c r="AE70" s="20" t="n"/>
      <c r="AF70" s="20" t="n"/>
      <c r="AG70" s="20" t="n"/>
      <c r="AH70" s="20" t="n"/>
      <c r="AI70" s="20" t="n"/>
    </row>
    <row r="71" outlineLevel="2">
      <c r="A71" s="20" t="inlineStr">
        <is>
          <t>6.c.xx</t>
        </is>
      </c>
      <c r="B71" s="20" t="inlineStr">
        <is>
          <t>Komunitas</t>
        </is>
      </c>
      <c r="C71" s="20" t="inlineStr">
        <is>
          <t>Tab</t>
        </is>
      </c>
      <c r="D71" s="21" t="inlineStr">
        <is>
          <t>Kompetisi</t>
        </is>
      </c>
      <c r="E71" s="20" t="inlineStr">
        <is>
          <t>Belum Dimulai</t>
        </is>
      </c>
      <c r="F71" s="20" t="inlineStr">
        <is>
          <t>Tab hanya menampilkan placeholder "Segera Hadir" (ComingSoonTab); belum ada backend. Diverifikasi ulang 30 Sep.</t>
        </is>
      </c>
      <c r="G71" s="20" t="inlineStr">
        <is>
          <t>https://saloka.id/community/[community-id]?view=dashboard&amp;tab=kompetisi</t>
        </is>
      </c>
      <c r="H71" s="20" t="inlineStr">
        <is>
          <t>Perkumpulan Education</t>
        </is>
      </c>
      <c r="I71" s="20" t="inlineStr">
        <is>
          <t>Hanya placeholder.</t>
        </is>
      </c>
      <c r="J71" s="20" t="n"/>
      <c r="K71" s="20" t="n"/>
      <c r="L71" s="20" t="n"/>
      <c r="M71" s="20" t="inlineStr">
        <is>
          <t>src/app/community/[id]/CommunityDetailClient.tsx</t>
        </is>
      </c>
      <c r="N71" s="20" t="inlineStr">
        <is>
          <t>Minggu B</t>
        </is>
      </c>
      <c r="O71" s="20" t="inlineStr">
        <is>
          <t>Modul belum dibangun — bangun, atau sembunyikan lewat Feature Control sampai siap.</t>
        </is>
      </c>
      <c r="P71" s="20" t="inlineStr">
        <is>
          <t>2026-06-18</t>
        </is>
      </c>
      <c r="Q71" s="20" t="inlineStr">
        <is>
          <t>2026-09-13</t>
        </is>
      </c>
      <c r="R71" s="20" t="n"/>
      <c r="S71" s="20" t="n"/>
      <c r="T71" s="20" t="n"/>
      <c r="U71" s="20" t="n"/>
      <c r="V71" s="20" t="n"/>
      <c r="W71" s="20" t="n"/>
      <c r="X71" s="20" t="n"/>
      <c r="Y71" s="20" t="n"/>
      <c r="Z71" s="20" t="n"/>
      <c r="AA71" s="20" t="n"/>
      <c r="AB71" s="20" t="n"/>
      <c r="AC71" s="20" t="n"/>
      <c r="AD71" s="20" t="n"/>
      <c r="AE71" s="20" t="n"/>
      <c r="AF71" s="20" t="n"/>
      <c r="AG71" s="20" t="n"/>
      <c r="AH71" s="20" t="n"/>
      <c r="AI71" s="20" t="n"/>
    </row>
    <row r="72" outlineLevel="2">
      <c r="A72" s="20" t="inlineStr">
        <is>
          <t>6.c.xxi</t>
        </is>
      </c>
      <c r="B72" s="20" t="inlineStr">
        <is>
          <t>Komunitas</t>
        </is>
      </c>
      <c r="C72" s="20" t="inlineStr">
        <is>
          <t>Tab</t>
        </is>
      </c>
      <c r="D72" s="21" t="inlineStr">
        <is>
          <t>Startup</t>
        </is>
      </c>
      <c r="E72" s="20" t="inlineStr">
        <is>
          <t>Belum Dimulai</t>
        </is>
      </c>
      <c r="F72" s="20" t="inlineStr">
        <is>
          <t>Tab hanya menampilkan placeholder "Segera Hadir" (ComingSoonTab); belum ada backend. Diverifikasi ulang 30 Sep.</t>
        </is>
      </c>
      <c r="G72" s="20" t="inlineStr">
        <is>
          <t>https://saloka.id/community/[community-id]?view=dashboard&amp;tab=startup</t>
        </is>
      </c>
      <c r="H72" s="20" t="inlineStr">
        <is>
          <t>Perkumpulan Education</t>
        </is>
      </c>
      <c r="I72" s="20" t="inlineStr">
        <is>
          <t>Hanya placeholder.</t>
        </is>
      </c>
      <c r="J72" s="20" t="n"/>
      <c r="K72" s="20" t="n"/>
      <c r="L72" s="20" t="n"/>
      <c r="M72" s="20" t="inlineStr">
        <is>
          <t>src/app/community/[id]/CommunityDetailClient.tsx</t>
        </is>
      </c>
      <c r="N72" s="20" t="inlineStr">
        <is>
          <t>Minggu B</t>
        </is>
      </c>
      <c r="O72" s="20" t="inlineStr">
        <is>
          <t>Modul belum dibangun — bangun, atau sembunyikan lewat Feature Control sampai siap.</t>
        </is>
      </c>
      <c r="P72" s="20" t="inlineStr">
        <is>
          <t>2026-06-18</t>
        </is>
      </c>
      <c r="Q72" s="20" t="inlineStr">
        <is>
          <t>2026-09-13</t>
        </is>
      </c>
      <c r="R72" s="20" t="n"/>
      <c r="S72" s="20" t="n"/>
      <c r="T72" s="20" t="n"/>
      <c r="U72" s="20" t="n"/>
      <c r="V72" s="20" t="n"/>
      <c r="W72" s="20" t="n"/>
      <c r="X72" s="20" t="n"/>
      <c r="Y72" s="20" t="n"/>
      <c r="Z72" s="20" t="n"/>
      <c r="AA72" s="20" t="n"/>
      <c r="AB72" s="20" t="n"/>
      <c r="AC72" s="20" t="n"/>
      <c r="AD72" s="20" t="n"/>
      <c r="AE72" s="20" t="n"/>
      <c r="AF72" s="20" t="n"/>
      <c r="AG72" s="20" t="n"/>
      <c r="AH72" s="20" t="n"/>
      <c r="AI72" s="20" t="n"/>
    </row>
    <row r="73" outlineLevel="2">
      <c r="A73" s="20" t="inlineStr">
        <is>
          <t>6.c.xxii</t>
        </is>
      </c>
      <c r="B73" s="20" t="inlineStr">
        <is>
          <t>Komunitas</t>
        </is>
      </c>
      <c r="C73" s="20" t="inlineStr">
        <is>
          <t>Tab</t>
        </is>
      </c>
      <c r="D73" s="21" t="inlineStr">
        <is>
          <t>Merchant</t>
        </is>
      </c>
      <c r="E73" s="20" t="inlineStr">
        <is>
          <t>Belum Dimulai</t>
        </is>
      </c>
      <c r="F73" s="20" t="inlineStr">
        <is>
          <t>Tab hanya menampilkan placeholder "Segera Hadir" (ComingSoonTab); belum ada backend. Diverifikasi ulang 30 Sep.</t>
        </is>
      </c>
      <c r="G73" s="20" t="inlineStr">
        <is>
          <t>https://saloka.id/community/[community-id]?view=dashboard&amp;tab=merchant</t>
        </is>
      </c>
      <c r="H73" s="20" t="inlineStr">
        <is>
          <t>Perkumpulan Culinary</t>
        </is>
      </c>
      <c r="I73" s="20" t="inlineStr">
        <is>
          <t>Hanya placeholder.</t>
        </is>
      </c>
      <c r="J73" s="20" t="n"/>
      <c r="K73" s="20" t="n"/>
      <c r="L73" s="20" t="n"/>
      <c r="M73" s="20" t="inlineStr">
        <is>
          <t>src/app/community/[id]/CommunityDetailClient.tsx</t>
        </is>
      </c>
      <c r="N73" s="20" t="inlineStr">
        <is>
          <t>Minggu B</t>
        </is>
      </c>
      <c r="O73" s="20" t="inlineStr">
        <is>
          <t>Modul belum dibangun — bangun, atau sembunyikan lewat Feature Control sampai siap.</t>
        </is>
      </c>
      <c r="P73" s="20" t="inlineStr">
        <is>
          <t>2026-06-18</t>
        </is>
      </c>
      <c r="Q73" s="20" t="inlineStr">
        <is>
          <t>2026-09-13</t>
        </is>
      </c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  <c r="AA73" s="20" t="n"/>
      <c r="AB73" s="20" t="n"/>
      <c r="AC73" s="20" t="n"/>
      <c r="AD73" s="20" t="n"/>
      <c r="AE73" s="20" t="n"/>
      <c r="AF73" s="20" t="n"/>
      <c r="AG73" s="20" t="n"/>
      <c r="AH73" s="20" t="n"/>
      <c r="AI73" s="20" t="n"/>
    </row>
    <row r="74" outlineLevel="2">
      <c r="A74" s="20" t="inlineStr">
        <is>
          <t>6.c.xxiii</t>
        </is>
      </c>
      <c r="B74" s="20" t="inlineStr">
        <is>
          <t>Komunitas</t>
        </is>
      </c>
      <c r="C74" s="20" t="inlineStr">
        <is>
          <t>Tab</t>
        </is>
      </c>
      <c r="D74" s="21" t="inlineStr">
        <is>
          <t>Supplier</t>
        </is>
      </c>
      <c r="E74" s="20" t="inlineStr">
        <is>
          <t>Belum Dimulai</t>
        </is>
      </c>
      <c r="F74" s="20" t="inlineStr">
        <is>
          <t>Tab hanya menampilkan placeholder "Segera Hadir" (ComingSoonTab); belum ada backend. Diverifikasi ulang 30 Sep.</t>
        </is>
      </c>
      <c r="G74" s="20" t="inlineStr">
        <is>
          <t>https://saloka.id/community/[community-id]?view=dashboard&amp;tab=supplier</t>
        </is>
      </c>
      <c r="H74" s="20" t="inlineStr">
        <is>
          <t>Perkumpulan Culinary</t>
        </is>
      </c>
      <c r="I74" s="20" t="inlineStr">
        <is>
          <t>Hanya placeholder.</t>
        </is>
      </c>
      <c r="J74" s="20" t="n"/>
      <c r="K74" s="20" t="n"/>
      <c r="L74" s="20" t="n"/>
      <c r="M74" s="20" t="inlineStr">
        <is>
          <t>src/app/community/[id]/CommunityDetailClient.tsx</t>
        </is>
      </c>
      <c r="N74" s="20" t="inlineStr">
        <is>
          <t>Minggu B</t>
        </is>
      </c>
      <c r="O74" s="20" t="inlineStr">
        <is>
          <t>Modul belum dibangun — bangun, atau sembunyikan lewat Feature Control sampai siap.</t>
        </is>
      </c>
      <c r="P74" s="20" t="inlineStr">
        <is>
          <t>2026-06-18</t>
        </is>
      </c>
      <c r="Q74" s="20" t="inlineStr">
        <is>
          <t>2026-09-13</t>
        </is>
      </c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n"/>
      <c r="AG74" s="20" t="n"/>
      <c r="AH74" s="20" t="n"/>
      <c r="AI74" s="20" t="n"/>
    </row>
    <row r="75" outlineLevel="2">
      <c r="A75" s="20" t="inlineStr">
        <is>
          <t>6.c.xxiv</t>
        </is>
      </c>
      <c r="B75" s="20" t="inlineStr">
        <is>
          <t>Komunitas</t>
        </is>
      </c>
      <c r="C75" s="20" t="inlineStr">
        <is>
          <t>Tab</t>
        </is>
      </c>
      <c r="D75" s="21" t="inlineStr">
        <is>
          <t>Promo</t>
        </is>
      </c>
      <c r="E75" s="20" t="inlineStr">
        <is>
          <t>Belum Dimulai</t>
        </is>
      </c>
      <c r="F75" s="20" t="inlineStr">
        <is>
          <t>Tab hanya menampilkan placeholder "Segera Hadir" (ComingSoonTab); belum ada backend. Diverifikasi ulang 30 Sep.</t>
        </is>
      </c>
      <c r="G75" s="20" t="inlineStr">
        <is>
          <t>https://saloka.id/community/[community-id]?view=dashboard&amp;tab=promo</t>
        </is>
      </c>
      <c r="H75" s="20" t="inlineStr">
        <is>
          <t>Perkumpulan Culinary</t>
        </is>
      </c>
      <c r="I75" s="20" t="inlineStr">
        <is>
          <t>Hanya placeholder.</t>
        </is>
      </c>
      <c r="J75" s="20" t="n"/>
      <c r="K75" s="20" t="n"/>
      <c r="L75" s="20" t="n"/>
      <c r="M75" s="20" t="inlineStr">
        <is>
          <t>src/app/community/[id]/CommunityDetailClient.tsx</t>
        </is>
      </c>
      <c r="N75" s="20" t="inlineStr">
        <is>
          <t>Minggu B</t>
        </is>
      </c>
      <c r="O75" s="20" t="inlineStr">
        <is>
          <t>Modul belum dibangun — bangun, atau sembunyikan lewat Feature Control sampai siap.</t>
        </is>
      </c>
      <c r="P75" s="20" t="inlineStr">
        <is>
          <t>2026-06-18</t>
        </is>
      </c>
      <c r="Q75" s="20" t="inlineStr">
        <is>
          <t>2026-09-13</t>
        </is>
      </c>
      <c r="R75" s="20" t="n"/>
      <c r="S75" s="20" t="n"/>
      <c r="T75" s="20" t="n"/>
      <c r="U75" s="20" t="n"/>
      <c r="V75" s="20" t="n"/>
      <c r="W75" s="20" t="n"/>
      <c r="X75" s="20" t="n"/>
      <c r="Y75" s="20" t="n"/>
      <c r="Z75" s="20" t="n"/>
      <c r="AA75" s="20" t="n"/>
      <c r="AB75" s="20" t="n"/>
      <c r="AC75" s="20" t="n"/>
      <c r="AD75" s="20" t="n"/>
      <c r="AE75" s="20" t="n"/>
      <c r="AF75" s="20" t="n"/>
      <c r="AG75" s="20" t="n"/>
      <c r="AH75" s="20" t="n"/>
      <c r="AI75" s="20" t="n"/>
    </row>
    <row r="76" outlineLevel="2">
      <c r="A76" s="20" t="inlineStr">
        <is>
          <t>6.c.xxv</t>
        </is>
      </c>
      <c r="B76" s="20" t="inlineStr">
        <is>
          <t>Komunitas</t>
        </is>
      </c>
      <c r="C76" s="20" t="inlineStr">
        <is>
          <t>Tab</t>
        </is>
      </c>
      <c r="D76" s="21" t="inlineStr">
        <is>
          <t>Desain Landing</t>
        </is>
      </c>
      <c r="E76" s="20" t="inlineStr">
        <is>
          <t>Quality Check</t>
        </is>
      </c>
      <c r="F76" s="20" t="inlineStr">
        <is>
          <t>Diubah 13 Sep.</t>
        </is>
      </c>
      <c r="G76" s="20" t="inlineStr">
        <is>
          <t>https://saloka.id/community/[community-id]?view=dashboard&amp;tab=desain_landing</t>
        </is>
      </c>
      <c r="H76" s="20" t="inlineStr">
        <is>
          <t>Ketua, admin, super admin — semua tipe</t>
        </is>
      </c>
      <c r="I76" s="20" t="inlineStr">
        <is>
          <t>Editor landing page: hero, bagian-bagian halaman, toggle produk resmi vs produk anggota.</t>
        </is>
      </c>
      <c r="J76" s="20" t="inlineStr">
        <is>
          <t>Desain landing</t>
        </is>
      </c>
      <c r="K76" s="20" t="inlineStr">
        <is>
          <t>Community (landingPageConfig)</t>
        </is>
      </c>
      <c r="L76" s="20" t="inlineStr">
        <is>
          <t>community.updateIndukCommunity</t>
        </is>
      </c>
      <c r="M76" s="20" t="inlineStr">
        <is>
          <t>src/app/community/[id]/LandingPageEditor.tsx</t>
        </is>
      </c>
      <c r="N76" s="20" t="inlineStr">
        <is>
          <t>Minggu B</t>
        </is>
      </c>
      <c r="O76" s="20" t="n"/>
      <c r="P76" s="20" t="inlineStr">
        <is>
          <t>2026-08-12</t>
        </is>
      </c>
      <c r="Q76" s="20" t="inlineStr">
        <is>
          <t>2026-09-13</t>
        </is>
      </c>
      <c r="R76" s="20" t="n"/>
      <c r="S76" s="20" t="n"/>
      <c r="T76" s="20" t="n"/>
      <c r="U76" s="20" t="n"/>
      <c r="V76" s="20" t="n"/>
      <c r="W76" s="20" t="n"/>
      <c r="X76" s="20" t="n"/>
      <c r="Y76" s="20" t="n"/>
      <c r="Z76" s="20" t="n"/>
      <c r="AA76" s="20" t="n"/>
      <c r="AB76" s="20" t="n"/>
      <c r="AC76" s="20" t="n"/>
      <c r="AD76" s="20" t="n"/>
      <c r="AE76" s="20" t="n"/>
      <c r="AF76" s="20" t="n"/>
      <c r="AG76" s="20" t="n"/>
      <c r="AH76" s="20" t="n"/>
      <c r="AI76" s="20" t="n"/>
    </row>
    <row r="77" outlineLevel="2">
      <c r="A77" s="20" t="inlineStr">
        <is>
          <t>6.c.xxvi</t>
        </is>
      </c>
      <c r="B77" s="20" t="inlineStr">
        <is>
          <t>Komunitas</t>
        </is>
      </c>
      <c r="C77" s="20" t="inlineStr">
        <is>
          <t>Tab</t>
        </is>
      </c>
      <c r="D77" s="21" t="inlineStr">
        <is>
          <t>Afiliasi Saya</t>
        </is>
      </c>
      <c r="E77" s="20" t="inlineStr">
        <is>
          <t>Quality Check</t>
        </is>
      </c>
      <c r="F77" s="20" t="inlineStr">
        <is>
          <t>Perhitungan payout &amp; perlindungan loop dibangun ulang 13 Sep; perlu diuji ulang.</t>
        </is>
      </c>
      <c r="G77" s="20" t="inlineStr">
        <is>
          <t>https://saloka.id/community/[community-id]?view=dashboard&amp;tab=afiliasi_saya</t>
        </is>
      </c>
      <c r="H77" s="20" t="inlineStr">
        <is>
          <t>Anggota komunitas berbayar dengan program affiliate aktif (Perkumpulan Premium, Koperasi semua tier)</t>
        </is>
      </c>
      <c r="I77" s="20" t="inlineStr">
        <is>
          <t>Link referral pribadi dan komisi multi-tier dari biaya bergabung anggota baru.</t>
        </is>
      </c>
      <c r="J77" s="20" t="inlineStr">
        <is>
          <t>Referral, pembayaran komisi</t>
        </is>
      </c>
      <c r="K77" s="20" t="inlineStr">
        <is>
          <t>CommunityReferralLog, CommunityMembership (referrerId), Wallet, WalletTransaction</t>
        </is>
      </c>
      <c r="L77" s="20" t="inlineStr">
        <is>
          <t>community-referral.getMyCommunityAffiliateSummary, processMultiTierReferralPayout</t>
        </is>
      </c>
      <c r="M77" s="20" t="inlineStr">
        <is>
          <t>src/lib/referral-payout.ts</t>
        </is>
      </c>
      <c r="N77" s="20" t="inlineStr">
        <is>
          <t>Minggu B</t>
        </is>
      </c>
      <c r="O77" s="20" t="n"/>
      <c r="P77" s="20" t="inlineStr">
        <is>
          <t>2026-09-13</t>
        </is>
      </c>
      <c r="Q77" s="20" t="inlineStr">
        <is>
          <t>2026-09-13</t>
        </is>
      </c>
      <c r="R77" s="20" t="n"/>
      <c r="S77" s="20" t="n"/>
      <c r="T77" s="20" t="n"/>
      <c r="U77" s="20" t="n"/>
      <c r="V77" s="20" t="n"/>
      <c r="W77" s="20" t="n"/>
      <c r="X77" s="20" t="n"/>
      <c r="Y77" s="20" t="n"/>
      <c r="Z77" s="20" t="n"/>
      <c r="AA77" s="20" t="n"/>
      <c r="AB77" s="20" t="n"/>
      <c r="AC77" s="20" t="n"/>
      <c r="AD77" s="20" t="n"/>
      <c r="AE77" s="20" t="n"/>
      <c r="AF77" s="20" t="inlineStr">
        <is>
          <t>Komisi nominal dihitung sebagai persentase; sisa dana dikirim ke penerima fallback yang di-hardcode; loop referral bisa terjadi</t>
        </is>
      </c>
      <c r="AG77" s="20" t="inlineStr">
        <is>
          <t>—</t>
        </is>
      </c>
      <c r="AH77" s="20" t="inlineStr">
        <is>
          <t>Perhitungan payout dibangun ulang, pembagian biaya bergabung ditegakkan, pengecekan loop + script audit (2d53f00, 5a3dcb0)</t>
        </is>
      </c>
      <c r="AI77" s="20" t="inlineStr">
        <is>
          <t>2026-09-13</t>
        </is>
      </c>
    </row>
    <row r="78" outlineLevel="2">
      <c r="A78" s="20" t="inlineStr">
        <is>
          <t>6.c.xxvii</t>
        </is>
      </c>
      <c r="B78" s="20" t="inlineStr">
        <is>
          <t>Komunitas</t>
        </is>
      </c>
      <c r="C78" s="20" t="inlineStr">
        <is>
          <t>Tab</t>
        </is>
      </c>
      <c r="D78" s="21" t="inlineStr">
        <is>
          <t>Pengaturan</t>
        </is>
      </c>
      <c r="E78" s="20" t="inlineStr">
        <is>
          <t>Quality Check</t>
        </is>
      </c>
      <c r="F78" s="20" t="inlineStr">
        <is>
          <t>Perbaikan sinkronisasi pengaturan belum di-commit.</t>
        </is>
      </c>
      <c r="G78" s="20" t="inlineStr">
        <is>
          <t>https://saloka.id/community/[community-id]?view=dashboard&amp;tab=pengaturan</t>
        </is>
      </c>
      <c r="H78" s="20" t="inlineStr">
        <is>
          <t>Ketua, admin — semua tipe</t>
        </is>
      </c>
      <c r="I78" s="20" t="inlineStr">
        <is>
          <t>Toggle modul &amp; template (Perkumpulan), biaya bergabung &amp; komisi referral (persentase atau nominal; biaya bergabung = anggaran referral + bagian komunitas), kunci rekrutmen, upgrade tier.</t>
        </is>
      </c>
      <c r="J78" s="20" t="inlineStr">
        <is>
          <t>Modul aktif, biaya bergabung, metode komisi, kunci rekrutmen, tier</t>
        </is>
      </c>
      <c r="K78" s="20" t="inlineStr">
        <is>
          <t>Community (disabledModules, joinFee, commissionMethod, isRecruitmentLocked)</t>
        </is>
      </c>
      <c r="L78" s="20" t="inlineStr">
        <is>
          <t>community.updateIndukCommunity, upgradeCommunityTierAction; community-referral.updateCommunityReferralConfig</t>
        </is>
      </c>
      <c r="M78" s="20" t="inlineStr">
        <is>
          <t>src/app/community/[id]/CommunityDetailClient.tsx</t>
        </is>
      </c>
      <c r="N78" s="20" t="inlineStr">
        <is>
          <t>Minggu B</t>
        </is>
      </c>
      <c r="O78" s="20" t="inlineStr">
        <is>
          <t>Upgrade tier gratis dan instan — belum ada penagihan (Phase 6).</t>
        </is>
      </c>
      <c r="P78" s="20" t="inlineStr">
        <is>
          <t>2026-06-18</t>
        </is>
      </c>
      <c r="Q78" s="20" t="inlineStr">
        <is>
          <t>2026-09-13</t>
        </is>
      </c>
      <c r="R78" s="20" t="n"/>
      <c r="S78" s="20" t="n"/>
      <c r="T78" s="20" t="n"/>
      <c r="U78" s="20" t="n"/>
      <c r="V78" s="20" t="n"/>
      <c r="W78" s="20" t="n"/>
      <c r="X78" s="20" t="n"/>
      <c r="Y78" s="20" t="n"/>
      <c r="Z78" s="20" t="n"/>
      <c r="AA78" s="20" t="n"/>
      <c r="AB78" s="20" t="n"/>
      <c r="AC78" s="20" t="n"/>
      <c r="AD78" s="20" t="n"/>
      <c r="AE78" s="20" t="n"/>
      <c r="AF78" s="20" t="inlineStr">
        <is>
          <t>Pengaturan yang disimpan (menu, biaya bergabung, tier) masih menampilkan nilai lama di Hub dan CMS</t>
        </is>
      </c>
      <c r="AG78" s="20" t="inlineStr">
        <is>
          <t>—</t>
        </is>
      </c>
      <c r="AH78" s="20" t="inlineStr">
        <is>
          <t>Cache dibersihkan setiap kali menyimpan</t>
        </is>
      </c>
      <c r="AI78" s="20" t="inlineStr">
        <is>
          <t>Sedang dikerjakan (belum di-commit)</t>
        </is>
      </c>
    </row>
    <row r="79" outlineLevel="1">
      <c r="A79" s="5" t="inlineStr">
        <is>
          <t>6.d</t>
        </is>
      </c>
      <c r="B79" s="5" t="inlineStr">
        <is>
          <t>Komunitas</t>
        </is>
      </c>
      <c r="C79" s="5" t="inlineStr">
        <is>
          <t>Halaman</t>
        </is>
      </c>
      <c r="D79" s="18" t="inlineStr">
        <is>
          <t>Koin komunitas (kas)</t>
        </is>
      </c>
      <c r="E79" s="5" t="inlineStr">
        <is>
          <t>Quality Check</t>
        </is>
      </c>
      <c r="F79" s="5" t="inlineStr">
        <is>
          <t>Diubah 13 Sep (top-up DOKU).</t>
        </is>
      </c>
      <c r="G79" s="5" t="inlineStr">
        <is>
          <t>https://saloka.id/community/[community-id]/coin</t>
        </is>
      </c>
      <c r="H79" s="5" t="inlineStr">
        <is>
          <t>Ketua atau admin — semua tipe (kelayakan pinjaman berlaku untuk Koperasi)</t>
        </is>
      </c>
      <c r="I79" s="5" t="inlineStr">
        <is>
          <t>Saldo koin komunitas, top-up via DOKU, riwayat koin, kelayakan akses pinjaman.</t>
        </is>
      </c>
      <c r="J79" s="5" t="inlineStr">
        <is>
          <t>Saldo &amp; riwayat koin komunitas</t>
        </is>
      </c>
      <c r="K79" s="5" t="inlineStr">
        <is>
          <t>Community (coinBalance), CoinTransaction (orderId unique), CoinSupplyLog</t>
        </is>
      </c>
      <c r="L79" s="5" t="inlineStr">
        <is>
          <t>coin.getCommunityCoinBalance, checkCommunityLoanEligibility; /api/payment/checkout &amp; /verify (COIN_TOPUP)</t>
        </is>
      </c>
      <c r="M79" s="5" t="inlineStr">
        <is>
          <t>src/app/community/[id]/coin/page.tsx</t>
        </is>
      </c>
      <c r="N79" s="5" t="inlineStr">
        <is>
          <t>Minggu B / C</t>
        </is>
      </c>
      <c r="O79" s="5" t="inlineStr">
        <is>
          <t>Koin komunitas, koin pengguna, wallet, dan “kas” adalah saldo berbeda tetapi namanya dipakai bergantian (Phase 6).</t>
        </is>
      </c>
      <c r="P79" s="5" t="inlineStr">
        <is>
          <t>2026-06-25</t>
        </is>
      </c>
      <c r="Q79" s="5" t="inlineStr">
        <is>
          <t>2026-09-13</t>
        </is>
      </c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</row>
    <row r="80" outlineLevel="1">
      <c r="A80" s="5" t="inlineStr">
        <is>
          <t>6.e</t>
        </is>
      </c>
      <c r="B80" s="5" t="inlineStr">
        <is>
          <t>Komunitas</t>
        </is>
      </c>
      <c r="C80" s="5" t="inlineStr">
        <is>
          <t>Halaman Admin</t>
        </is>
      </c>
      <c r="D80" s="18" t="inlineStr">
        <is>
          <t>Admin · Komunitas Induk</t>
        </is>
      </c>
      <c r="E80" s="5" t="inlineStr">
        <is>
          <t>Quality Check</t>
        </is>
      </c>
      <c r="F80" s="5" t="inlineStr">
        <is>
          <t>Diubah 13 Sep; perbaikan jumlah anggota belum di-commit.</t>
        </is>
      </c>
      <c r="G80" s="19" t="inlineStr">
        <is>
          <t>https://saloka.id/cms_admin/communities/daftar</t>
        </is>
      </c>
      <c r="H80" s="5" t="inlineStr">
        <is>
          <t>Admin dengan izin “communities”</t>
        </is>
      </c>
      <c r="I80" s="5" t="inlineStr">
        <is>
          <t>Kelola semua komunitas, invoice keanggotaan, moderasi forum, laporan, dan aturan KYC.</t>
        </is>
      </c>
      <c r="J80" s="5" t="inlineStr">
        <is>
          <t>Komunitas, anggota, invoice, postingan, laporan</t>
        </is>
      </c>
      <c r="K80" s="5" t="inlineStr">
        <is>
          <t>Community, CommunityMembership, Post, Comment, CooperativeReport, SystemSetting</t>
        </is>
      </c>
      <c r="L80" s="5" t="n"/>
      <c r="M80" s="5" t="inlineStr">
        <is>
          <t>src/app/cms_admin/components/CommunityTab.tsx</t>
        </is>
      </c>
      <c r="N80" s="5" t="inlineStr">
        <is>
          <t>Minggu B</t>
        </is>
      </c>
      <c r="O80" s="5" t="n"/>
      <c r="P80" s="5" t="inlineStr">
        <is>
          <t>2026-09-05</t>
        </is>
      </c>
      <c r="Q80" s="5" t="inlineStr">
        <is>
          <t>2026-09-13</t>
        </is>
      </c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</row>
    <row r="81" outlineLevel="2">
      <c r="A81" s="20" t="inlineStr">
        <is>
          <t>6.e.i</t>
        </is>
      </c>
      <c r="B81" s="20" t="inlineStr">
        <is>
          <t>Komunitas</t>
        </is>
      </c>
      <c r="C81" s="20" t="inlineStr">
        <is>
          <t>Tab Admin</t>
        </is>
      </c>
      <c r="D81" s="21" t="inlineStr">
        <is>
          <t>Daftar</t>
        </is>
      </c>
      <c r="E81" s="20" t="inlineStr">
        <is>
          <t>Quality Check</t>
        </is>
      </c>
      <c r="F81" s="20" t="inlineStr">
        <is>
          <t>Perbaikan jumlah anggota/data usang belum di-commit.</t>
        </is>
      </c>
      <c r="G81" s="19" t="inlineStr">
        <is>
          <t>https://saloka.id/cms_admin/communities/daftar</t>
        </is>
      </c>
      <c r="H81" s="20" t="n"/>
      <c r="I81" s="20" t="inlineStr">
        <is>
          <t>Daftar, buat, edit, hapus komunitas; keluarkan anggota.</t>
        </is>
      </c>
      <c r="J81" s="20" t="n"/>
      <c r="K81" s="20" t="n"/>
      <c r="L81" s="20" t="inlineStr">
        <is>
          <t>admin.getCommunitiesAdminAction, create/update/deleteCommunityAdminAction, kickMemberFromCommunityAdminAction</t>
        </is>
      </c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inlineStr">
        <is>
          <t>Jumlah/daftar anggota di admin tidak sinkron dengan keanggotaan asli</t>
        </is>
      </c>
      <c r="Y81" s="20" t="inlineStr">
        <is>
          <t>—</t>
        </is>
      </c>
      <c r="Z81" s="20" t="inlineStr">
        <is>
          <t>Jumlah dibaca dari data keanggotaan; konfirmasi kick (f393d1e, 6461060)</t>
        </is>
      </c>
      <c r="AA81" s="20" t="inlineStr">
        <is>
          <t>2026-08-23</t>
        </is>
      </c>
      <c r="AB81" s="20" t="n"/>
      <c r="AC81" s="20" t="n"/>
      <c r="AD81" s="20" t="n"/>
      <c r="AE81" s="20" t="n"/>
      <c r="AF81" s="20" t="inlineStr">
        <is>
          <t>CMS menghitung anggota yang dikeluarkan dan menampilkan data komunitas usang setelah edit/bergabung/pembayaran</t>
        </is>
      </c>
      <c r="AG81" s="20" t="inlineStr">
        <is>
          <t>—</t>
        </is>
      </c>
      <c r="AH81" s="20" t="inlineStr">
        <is>
          <t>Anggota yang dikeluarkan difilter; cache CMS diperbarui</t>
        </is>
      </c>
      <c r="AI81" s="20" t="inlineStr">
        <is>
          <t>Sedang dikerjakan (belum di-commit)</t>
        </is>
      </c>
    </row>
    <row r="82" outlineLevel="2">
      <c r="A82" s="20" t="inlineStr">
        <is>
          <t>6.e.ii</t>
        </is>
      </c>
      <c r="B82" s="20" t="inlineStr">
        <is>
          <t>Komunitas</t>
        </is>
      </c>
      <c r="C82" s="20" t="inlineStr">
        <is>
          <t>Tab Admin</t>
        </is>
      </c>
      <c r="D82" s="21" t="inlineStr">
        <is>
          <t>Invoice Keanggotaan</t>
        </is>
      </c>
      <c r="E82" s="20" t="inlineStr">
        <is>
          <t>Quality Check</t>
        </is>
      </c>
      <c r="F82" s="20" t="inlineStr">
        <is>
          <t>Data asli.</t>
        </is>
      </c>
      <c r="G82" s="19" t="inlineStr">
        <is>
          <t>https://saloka.id/cms_admin/communities/invoice</t>
        </is>
      </c>
      <c r="H82" s="20" t="n"/>
      <c r="I82" s="20" t="inlineStr">
        <is>
          <t>Verifikasi pembayaran keanggotaan.</t>
        </is>
      </c>
      <c r="J82" s="20" t="n"/>
      <c r="K82" s="20" t="n"/>
      <c r="L82" s="20" t="inlineStr">
        <is>
          <t>admin.getInvoiceMembershipsAction, verifyInvoiceMembershipAction</t>
        </is>
      </c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 t="n"/>
      <c r="Y82" s="20" t="n"/>
      <c r="Z82" s="20" t="n"/>
      <c r="AA82" s="20" t="n"/>
      <c r="AB82" s="20" t="n"/>
      <c r="AC82" s="20" t="n"/>
      <c r="AD82" s="20" t="n"/>
      <c r="AE82" s="20" t="n"/>
      <c r="AF82" s="20" t="n"/>
      <c r="AG82" s="20" t="n"/>
      <c r="AH82" s="20" t="n"/>
      <c r="AI82" s="20" t="n"/>
    </row>
    <row r="83" outlineLevel="2">
      <c r="A83" s="20" t="inlineStr">
        <is>
          <t>6.e.iii</t>
        </is>
      </c>
      <c r="B83" s="20" t="inlineStr">
        <is>
          <t>Komunitas</t>
        </is>
      </c>
      <c r="C83" s="20" t="inlineStr">
        <is>
          <t>Tab Admin</t>
        </is>
      </c>
      <c r="D83" s="21" t="inlineStr">
        <is>
          <t>Moderasi Forum</t>
        </is>
      </c>
      <c r="E83" s="20" t="inlineStr">
        <is>
          <t>Quality Check</t>
        </is>
      </c>
      <c r="F83" s="20" t="inlineStr">
        <is>
          <t>Data asli.</t>
        </is>
      </c>
      <c r="G83" s="19" t="inlineStr">
        <is>
          <t>https://saloka.id/cms_admin/communities/forum</t>
        </is>
      </c>
      <c r="H83" s="20" t="n"/>
      <c r="I83" s="20" t="inlineStr">
        <is>
          <t>Hapus postingan dan komentar.</t>
        </is>
      </c>
      <c r="J83" s="20" t="n"/>
      <c r="K83" s="20" t="inlineStr">
        <is>
          <t>Post, Comment</t>
        </is>
      </c>
      <c r="L83" s="20" t="inlineStr">
        <is>
          <t>community.deletePostAction, deleteCommentAction</t>
        </is>
      </c>
      <c r="M83" s="20" t="n"/>
      <c r="N83" s="20" t="n"/>
      <c r="O83" s="20" t="inlineStr">
        <is>
          <t>Memoderasi data Post/Comment; thread Diskusi komunitas disimpan terpisah — cek apakah muncul di sini.</t>
        </is>
      </c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20" t="n"/>
      <c r="Z83" s="20" t="n"/>
      <c r="AA83" s="20" t="n"/>
      <c r="AB83" s="20" t="n"/>
      <c r="AC83" s="20" t="n"/>
      <c r="AD83" s="20" t="n"/>
      <c r="AE83" s="20" t="n"/>
      <c r="AF83" s="20" t="n"/>
      <c r="AG83" s="20" t="n"/>
      <c r="AH83" s="20" t="n"/>
      <c r="AI83" s="20" t="n"/>
    </row>
    <row r="84" outlineLevel="2">
      <c r="A84" s="20" t="inlineStr">
        <is>
          <t>6.e.iv</t>
        </is>
      </c>
      <c r="B84" s="20" t="inlineStr">
        <is>
          <t>Komunitas</t>
        </is>
      </c>
      <c r="C84" s="20" t="inlineStr">
        <is>
          <t>Tab Admin</t>
        </is>
      </c>
      <c r="D84" s="21" t="inlineStr">
        <is>
          <t>Laporan</t>
        </is>
      </c>
      <c r="E84" s="20" t="inlineStr">
        <is>
          <t>Quality Check</t>
        </is>
      </c>
      <c r="F84" s="20" t="inlineStr">
        <is>
          <t>Data asli.</t>
        </is>
      </c>
      <c r="G84" s="19" t="inlineStr">
        <is>
          <t>https://saloka.id/cms_admin/communities/laporan</t>
        </is>
      </c>
      <c r="H84" s="20" t="n"/>
      <c r="I84" s="20" t="inlineStr">
        <is>
          <t>Semua laporan koperasi.</t>
        </is>
      </c>
      <c r="J84" s="20" t="n"/>
      <c r="K84" s="20" t="inlineStr">
        <is>
          <t>CooperativeReport</t>
        </is>
      </c>
      <c r="L84" s="20" t="n"/>
      <c r="M84" s="20" t="inlineStr">
        <is>
          <t>src/app/cms_admin/components/CooperativeReportsTab.tsx</t>
        </is>
      </c>
      <c r="N84" s="20" t="n"/>
      <c r="O84" s="20" t="n"/>
      <c r="P84" s="20" t="inlineStr">
        <is>
          <t>2026-09-05</t>
        </is>
      </c>
      <c r="Q84" s="20" t="inlineStr">
        <is>
          <t>2026-09-05</t>
        </is>
      </c>
      <c r="R84" s="20" t="n"/>
      <c r="S84" s="20" t="n"/>
      <c r="T84" s="20" t="n"/>
      <c r="U84" s="20" t="n"/>
      <c r="V84" s="20" t="n"/>
      <c r="W84" s="20" t="n"/>
      <c r="X84" s="20" t="n"/>
      <c r="Y84" s="20" t="n"/>
      <c r="Z84" s="20" t="n"/>
      <c r="AA84" s="20" t="n"/>
      <c r="AB84" s="20" t="n"/>
      <c r="AC84" s="20" t="n"/>
      <c r="AD84" s="20" t="n"/>
      <c r="AE84" s="20" t="n"/>
      <c r="AF84" s="20" t="n"/>
      <c r="AG84" s="20" t="n"/>
      <c r="AH84" s="20" t="n"/>
      <c r="AI84" s="20" t="n"/>
    </row>
    <row r="85" outlineLevel="2">
      <c r="A85" s="20" t="inlineStr">
        <is>
          <t>6.e.v</t>
        </is>
      </c>
      <c r="B85" s="20" t="inlineStr">
        <is>
          <t>Komunitas</t>
        </is>
      </c>
      <c r="C85" s="20" t="inlineStr">
        <is>
          <t>Tab Admin</t>
        </is>
      </c>
      <c r="D85" s="21" t="inlineStr">
        <is>
          <t>Pengaturan KYC</t>
        </is>
      </c>
      <c r="E85" s="20" t="inlineStr">
        <is>
          <t>Selesai</t>
        </is>
      </c>
      <c r="F85" s="20" t="inlineStr">
        <is>
          <t>Disimpan di database sejak 1 Agu; tidak ada masalah sejak itu.</t>
        </is>
      </c>
      <c r="G85" s="19" t="inlineStr">
        <is>
          <t>https://saloka.id/cms_admin/communities/kyc</t>
        </is>
      </c>
      <c r="H85" s="20" t="n"/>
      <c r="I85" s="20" t="inlineStr">
        <is>
          <t>Menyalakan/mematikan aturan “wajib KYC untuk membuat komunitas”.</t>
        </is>
      </c>
      <c r="J85" s="20" t="n"/>
      <c r="K85" s="20" t="inlineStr">
        <is>
          <t>SystemSetting</t>
        </is>
      </c>
      <c r="L85" s="20" t="inlineStr">
        <is>
          <t>admin.getGlobalKycSettingAction, updateGlobalKycSettingAction</t>
        </is>
      </c>
      <c r="M85" s="20" t="n"/>
      <c r="N85" s="20" t="n"/>
      <c r="O85" s="20" t="n"/>
      <c r="P85" s="20" t="n"/>
      <c r="Q85" s="20" t="n"/>
      <c r="R85" s="20" t="n"/>
      <c r="S85" s="20" t="n"/>
      <c r="T85" s="20" t="inlineStr">
        <is>
          <t>Pengaturan KYC global ter-reset setiap server restart</t>
        </is>
      </c>
      <c r="U85" s="20" t="inlineStr">
        <is>
          <t>—</t>
        </is>
      </c>
      <c r="V85" s="20" t="inlineStr">
        <is>
          <t>Disimpan di database (2a1a5be)</t>
        </is>
      </c>
      <c r="W85" s="20" t="inlineStr">
        <is>
          <t>2026-08-01</t>
        </is>
      </c>
      <c r="X85" s="20" t="n"/>
      <c r="Y85" s="20" t="n"/>
      <c r="Z85" s="20" t="n"/>
      <c r="AA85" s="20" t="n"/>
      <c r="AB85" s="20" t="n"/>
      <c r="AC85" s="20" t="n"/>
      <c r="AD85" s="20" t="n"/>
      <c r="AE85" s="20" t="n"/>
      <c r="AF85" s="20" t="n"/>
      <c r="AG85" s="20" t="n"/>
      <c r="AH85" s="20" t="n"/>
      <c r="AI85" s="20" t="n"/>
    </row>
    <row r="86">
      <c r="A86" s="17" t="inlineStr">
        <is>
          <t>7</t>
        </is>
      </c>
      <c r="B86" s="17" t="inlineStr">
        <is>
          <t>Pembayaran, Wallet &amp; Koin</t>
        </is>
      </c>
      <c r="C86" s="17" t="inlineStr">
        <is>
          <t>Fitur</t>
        </is>
      </c>
      <c r="D86" s="17" t="inlineStr">
        <is>
          <t>Pembayaran, Wallet &amp; Koin</t>
        </is>
      </c>
      <c r="E86" s="17" t="inlineStr">
        <is>
          <t>Sedang Berjalan</t>
        </is>
      </c>
      <c r="F86" s="17" t="inlineStr">
        <is>
          <t>DOKU &amp; Biteship terintegrasi 12–13 Sep dengan perbaikan keamanan; verifikasi production, pembersihan vendor lama, dan sinkronisasi pengiriman masih tersisa (Minggu C).</t>
        </is>
      </c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</row>
    <row r="87" outlineLevel="1">
      <c r="A87" s="5" t="inlineStr">
        <is>
          <t>7.a</t>
        </is>
      </c>
      <c r="B87" s="5" t="inlineStr">
        <is>
          <t>Pembayaran, Wallet &amp; Koin</t>
        </is>
      </c>
      <c r="C87" s="5" t="inlineStr">
        <is>
          <t>Halaman</t>
        </is>
      </c>
      <c r="D87" s="18" t="inlineStr">
        <is>
          <t>Wallet</t>
        </is>
      </c>
      <c r="E87" s="5" t="inlineStr">
        <is>
          <t>Quality Check</t>
        </is>
      </c>
      <c r="F87" s="5" t="inlineStr">
        <is>
          <t>Deposit DOKU &amp; perbaikan keamanan 12–13 Sep; perlu diuji ulang.</t>
        </is>
      </c>
      <c r="G87" s="19" t="inlineStr">
        <is>
          <t>https://saloka.id/wallet</t>
        </is>
      </c>
      <c r="H87" s="5" t="inlineStr">
        <is>
          <t>Pengguna yang sudah login</t>
        </is>
      </c>
      <c r="I87" s="5" t="inlineStr">
        <is>
          <t>Saldo dan riwayat, top-up dengan DOKU (tombol nominal cepat), tarik dana ke rekening bank.</t>
        </is>
      </c>
      <c r="J87" s="5" t="inlineStr">
        <is>
          <t>Saldo wallet, deposit, penarikan</t>
        </is>
      </c>
      <c r="K87" s="5" t="inlineStr">
        <is>
          <t>Wallet, WalletTransaction</t>
        </is>
      </c>
      <c r="L87" s="5" t="inlineStr">
        <is>
          <t>wallet-affiliate.getWalletDetails, withdrawFunds; /api/doku/direct, /api/doku/verify, /api/doku/notification</t>
        </is>
      </c>
      <c r="M87" s="5" t="inlineStr">
        <is>
          <t>src/app/wallet/page.tsx</t>
        </is>
      </c>
      <c r="N87" s="5" t="inlineStr">
        <is>
          <t>Minggu C</t>
        </is>
      </c>
      <c r="O87" s="5" t="inlineStr">
        <is>
          <t>Verifikasi akun production DOKU belum selesai; tombol bypass QRIS sandbox dibuat selalu terlihat 12 Sep — sembunyikan sebelum peluncuran.</t>
        </is>
      </c>
      <c r="P87" s="5" t="inlineStr">
        <is>
          <t>2026-05-30</t>
        </is>
      </c>
      <c r="Q87" s="5" t="inlineStr">
        <is>
          <t>2026-09-12</t>
        </is>
      </c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inlineStr">
        <is>
          <t>1. Deposit dikreditkan sebelum DOKU mengonfirmasi pembayaran
2. Tidak ada batas minimum/maksimum deposit di sisi server</t>
        </is>
      </c>
      <c r="AG87" s="5" t="inlineStr">
        <is>
          <t>1. —
2. —</t>
        </is>
      </c>
      <c r="AH87" s="5" t="inlineStr">
        <is>
          <t>1. Cek status DOKU sebelum mengkreditkan (0b61de7)
2. Batas bawah dan atas ditegakkan (99a06a9)</t>
        </is>
      </c>
      <c r="AI87" s="5" t="inlineStr">
        <is>
          <t>1. 2026-09-12
2. 2026-09-13</t>
        </is>
      </c>
    </row>
    <row r="88" outlineLevel="1">
      <c r="A88" s="5" t="inlineStr">
        <is>
          <t>7.b</t>
        </is>
      </c>
      <c r="B88" s="5" t="inlineStr">
        <is>
          <t>Pembayaran, Wallet &amp; Koin</t>
        </is>
      </c>
      <c r="C88" s="5" t="inlineStr">
        <is>
          <t>Halaman</t>
        </is>
      </c>
      <c r="D88" s="18" t="inlineStr">
        <is>
          <t>Wallet koin</t>
        </is>
      </c>
      <c r="E88" s="5" t="inlineStr">
        <is>
          <t>Selesai</t>
        </is>
      </c>
      <c r="F88" s="5" t="inlineStr">
        <is>
          <t>Tidak berubah sejak 15 Agu; tidak ditemukan masalah terbuka.</t>
        </is>
      </c>
      <c r="G88" s="19" t="inlineStr">
        <is>
          <t>https://saloka.id/wallet/coin</t>
        </is>
      </c>
      <c r="H88" s="5" t="inlineStr">
        <is>
          <t>Pengguna yang sudah login</t>
        </is>
      </c>
      <c r="I88" s="5" t="inlineStr">
        <is>
          <t>Saldo dan riwayat koin pribadi.</t>
        </is>
      </c>
      <c r="J88" s="5" t="inlineStr">
        <is>
          <t>Saldo &amp; transaksi koin</t>
        </is>
      </c>
      <c r="K88" s="5" t="inlineStr">
        <is>
          <t>User (coinBalance), CoinTransaction</t>
        </is>
      </c>
      <c r="L88" s="5" t="inlineStr">
        <is>
          <t>coin.getUserCoinBalance, getCoinTransactionHistory</t>
        </is>
      </c>
      <c r="M88" s="5" t="inlineStr">
        <is>
          <t>src/app/wallet/coin/page.tsx</t>
        </is>
      </c>
      <c r="N88" s="5" t="n"/>
      <c r="O88" s="5" t="n"/>
      <c r="P88" s="5" t="inlineStr">
        <is>
          <t>2026-06-25</t>
        </is>
      </c>
      <c r="Q88" s="5" t="inlineStr">
        <is>
          <t>2026-08-15</t>
        </is>
      </c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</row>
    <row r="89" outlineLevel="1">
      <c r="A89" s="5" t="inlineStr">
        <is>
          <t>7.c</t>
        </is>
      </c>
      <c r="B89" s="5" t="inlineStr">
        <is>
          <t>Pembayaran, Wallet &amp; Koin</t>
        </is>
      </c>
      <c r="C89" s="5" t="inlineStr">
        <is>
          <t>Halaman</t>
        </is>
      </c>
      <c r="D89" s="18" t="inlineStr">
        <is>
          <t>Pusat voucher</t>
        </is>
      </c>
      <c r="E89" s="5" t="inlineStr">
        <is>
          <t>Selesai</t>
        </is>
      </c>
      <c r="F89" s="5" t="inlineStr">
        <is>
          <t>Tidak berubah sejak 29 Agu; tidak ditemukan masalah terbuka.</t>
        </is>
      </c>
      <c r="G89" s="19" t="inlineStr">
        <is>
          <t>https://saloka.id/voucher</t>
        </is>
      </c>
      <c r="H89" s="5" t="inlineStr">
        <is>
          <t>Semua orang (klaim perlu login)</t>
        </is>
      </c>
      <c r="I89" s="5" t="inlineStr">
        <is>
          <t>Pusat voucher &amp; promo; tukar koin dengan voucher.</t>
        </is>
      </c>
      <c r="J89" s="5" t="inlineStr">
        <is>
          <t>Voucher, penukaran</t>
        </is>
      </c>
      <c r="K89" s="5" t="inlineStr">
        <is>
          <t>CoinVoucher, CoinRedemption</t>
        </is>
      </c>
      <c r="L89" s="5" t="inlineStr">
        <is>
          <t>coin.getCoinVouchers, redeemCoinVoucher, getUserRedemptions</t>
        </is>
      </c>
      <c r="M89" s="5" t="inlineStr">
        <is>
          <t>src/app/voucher/VoucherClient.tsx</t>
        </is>
      </c>
      <c r="N89" s="5" t="n"/>
      <c r="O89" s="5" t="n"/>
      <c r="P89" s="5" t="inlineStr">
        <is>
          <t>2026-08-15</t>
        </is>
      </c>
      <c r="Q89" s="5" t="inlineStr">
        <is>
          <t>2026-08-29</t>
        </is>
      </c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</row>
    <row r="90" outlineLevel="1">
      <c r="A90" s="5" t="inlineStr">
        <is>
          <t>7.d</t>
        </is>
      </c>
      <c r="B90" s="5" t="inlineStr">
        <is>
          <t>Pembayaran, Wallet &amp; Koin</t>
        </is>
      </c>
      <c r="C90" s="5" t="inlineStr">
        <is>
          <t>Alur</t>
        </is>
      </c>
      <c r="D90" s="18" t="inlineStr">
        <is>
          <t>Payment gateway DOKU</t>
        </is>
      </c>
      <c r="E90" s="5" t="inlineStr">
        <is>
          <t>Quality Check</t>
        </is>
      </c>
      <c r="F90" s="5" t="inlineStr">
        <is>
          <t>Live sejak 16 Sep (satu-satunya gateway); Midtrans dihapus dari kode. Webhook RSA-SHA256, cek status ke DOKU, dan idempotensi orderId terverifikasi 30 Sep.</t>
        </is>
      </c>
      <c r="G90" s="5" t="inlineStr">
        <is>
          <t>Dipakai oleh /cart, /wallet, bergabung komunitas / simpanan / top-up koin</t>
        </is>
      </c>
      <c r="H90" s="5" t="inlineStr">
        <is>
          <t>Sistem</t>
        </is>
      </c>
      <c r="I90" s="5" t="inlineStr">
        <is>
          <t>Checkout, QRIS / virtual account di dalam aplikasi, webhook dengan pengecekan signature RSA, verifikasi status; mencegah pengkreditan ganda.</t>
        </is>
      </c>
      <c r="J90" s="5" t="inlineStr">
        <is>
          <t>Status pembayaran untuk pesanan, deposit, biaya bergabung, simpanan, top-up koin</t>
        </is>
      </c>
      <c r="K90" s="5" t="inlineStr">
        <is>
          <t>Order, WalletTransaction, CoinTransaction, CooperativeSavingsTransaction</t>
        </is>
      </c>
      <c r="L90" s="5" t="inlineStr">
        <is>
          <t>/api/doku/checkout, /direct, /notification, /verify; /api/payment/checkout, /api/payment/verify</t>
        </is>
      </c>
      <c r="M90" s="5" t="inlineStr">
        <is>
          <t>src/lib/doku.ts; src/lib/payment-gateway.ts; src/lib/payment-purposes.ts</t>
        </is>
      </c>
      <c r="N90" s="5" t="inlineStr">
        <is>
          <t>Minggu C (14–20 Sep)</t>
        </is>
      </c>
      <c r="O90" s="5" t="inlineStr">
        <is>
          <t>Rekonsiliasi settlement terjadwal belum ada (satu-satunya cron: purge-audit-logs); refund pesanan berbayar masih manual.</t>
        </is>
      </c>
      <c r="P90" s="5" t="inlineStr">
        <is>
          <t>2026-09-12</t>
        </is>
      </c>
      <c r="Q90" s="5" t="inlineStr">
        <is>
          <t>2026-09-13</t>
        </is>
      </c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inlineStr">
        <is>
          <t>1. Autentikasi DOKU gagal
2. Pembayaran ditandai lunas sebelum dikonfirmasi DOKU
3. Route DOKU mengizinkan panggilan tanpa autentikasi untuk melunasi pembayaran</t>
        </is>
      </c>
      <c r="AG90" s="5" t="inlineStr">
        <is>
          <t>1. —
2. —
3. —</t>
        </is>
      </c>
      <c r="AH90" s="5" t="inlineStr">
        <is>
          <t>1. Bearer API key dengan fallback HMAC (e9985f3)
2. Cek status DOKU sebelum pelunasan (0b61de7)
3. Celah ditutup (484e593)</t>
        </is>
      </c>
      <c r="AI90" s="5" t="inlineStr">
        <is>
          <t>1. 2026-09-12
2. 2026-09-12
3. 2026-09-13</t>
        </is>
      </c>
    </row>
    <row r="91" outlineLevel="1">
      <c r="A91" s="5" t="inlineStr">
        <is>
          <t>7.e</t>
        </is>
      </c>
      <c r="B91" s="5" t="inlineStr">
        <is>
          <t>Pembayaran, Wallet &amp; Koin</t>
        </is>
      </c>
      <c r="C91" s="5" t="inlineStr">
        <is>
          <t>Alur</t>
        </is>
      </c>
      <c r="D91" s="18" t="inlineStr">
        <is>
          <t>Pengiriman Biteship</t>
        </is>
      </c>
      <c r="E91" s="5" t="inlineStr">
        <is>
          <t>Sedang Berjalan</t>
        </is>
      </c>
      <c r="F91" s="5" t="inlineStr">
        <is>
          <t>Area &amp; tarif berjalan sejak 12 Sep; fallback Komerce sudah dihapus. Pelacakan otomatis belum ada (diverifikasi 30 Sep).</t>
        </is>
      </c>
      <c r="G91" s="5" t="inlineStr">
        <is>
          <t>Dipakai oleh /cart</t>
        </is>
      </c>
      <c r="H91" s="5" t="inlineStr">
        <is>
          <t>Sistem</t>
        </is>
      </c>
      <c r="I91" s="5" t="inlineStr">
        <is>
          <t>Pencarian tujuan dan tarif kurir.</t>
        </is>
      </c>
      <c r="J91" s="5" t="inlineStr">
        <is>
          <t>Area &amp; tarif pengiriman</t>
        </is>
      </c>
      <c r="K91" s="5" t="n"/>
      <c r="L91" s="5" t="inlineStr">
        <is>
          <t>/api/shipping/destination, /api/shipping/calculate</t>
        </is>
      </c>
      <c r="M91" s="5" t="inlineStr">
        <is>
          <t>src/lib/biteship.ts; src/lib/komerce.ts</t>
        </is>
      </c>
      <c r="N91" s="5" t="inlineStr">
        <is>
          <t>Minggu C</t>
        </is>
      </c>
      <c r="O91" s="5" t="inlineStr">
        <is>
          <t>trackBiteshipWaybill tidak dipanggil dari mana pun; tidak ada webhook Biteship dan tidak ada pembuatan pesanan kurir (booking) via API.</t>
        </is>
      </c>
      <c r="P91" s="5" t="inlineStr">
        <is>
          <t>2026-09-12</t>
        </is>
      </c>
      <c r="Q91" s="5" t="inlineStr">
        <is>
          <t>2026-09-12</t>
        </is>
      </c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inlineStr">
        <is>
          <t>Request tarif kurir ditolak (parameter couriers tidak ada)</t>
        </is>
      </c>
      <c r="AG91" s="5" t="inlineStr">
        <is>
          <t>—</t>
        </is>
      </c>
      <c r="AH91" s="5" t="inlineStr">
        <is>
          <t>Parameter ditambahkan (8d3d7fd)</t>
        </is>
      </c>
      <c r="AI91" s="5" t="inlineStr">
        <is>
          <t>2026-09-12</t>
        </is>
      </c>
    </row>
    <row r="92" outlineLevel="1">
      <c r="A92" s="5" t="inlineStr">
        <is>
          <t>7.f</t>
        </is>
      </c>
      <c r="B92" s="5" t="inlineStr">
        <is>
          <t>Pembayaran, Wallet &amp; Koin</t>
        </is>
      </c>
      <c r="C92" s="5" t="inlineStr">
        <is>
          <t>Halaman Admin</t>
        </is>
      </c>
      <c r="D92" s="18" t="inlineStr">
        <is>
          <t>Admin · Transaksi</t>
        </is>
      </c>
      <c r="E92" s="5" t="inlineStr">
        <is>
          <t>Quality Check</t>
        </is>
      </c>
      <c r="F92" s="5" t="inlineStr">
        <is>
          <t>CMS direstrukturisasi 5 Sep.</t>
        </is>
      </c>
      <c r="G92" s="19" t="inlineStr">
        <is>
          <t>https://saloka.id/cms_admin/transactions</t>
        </is>
      </c>
      <c r="H92" s="5" t="inlineStr">
        <is>
          <t>Admin dengan izin “transactions”</t>
        </is>
      </c>
      <c r="I92" s="5" t="inlineStr">
        <is>
          <t>Riwayat transaksi marketplace dan jasa.</t>
        </is>
      </c>
      <c r="J92" s="5" t="inlineStr">
        <is>
          <t>Pesanan</t>
        </is>
      </c>
      <c r="K92" s="5" t="inlineStr">
        <is>
          <t>Order</t>
        </is>
      </c>
      <c r="L92" s="5" t="inlineStr">
        <is>
          <t>admin.trackTransactionAction</t>
        </is>
      </c>
      <c r="M92" s="5" t="inlineStr">
        <is>
          <t>src/app/cms_admin/components/TransactionsTab.tsx</t>
        </is>
      </c>
      <c r="N92" s="5" t="inlineStr">
        <is>
          <t>Minggu C</t>
        </is>
      </c>
      <c r="O92" s="5" t="n"/>
      <c r="P92" s="5" t="inlineStr">
        <is>
          <t>2026-09-05</t>
        </is>
      </c>
      <c r="Q92" s="5" t="inlineStr">
        <is>
          <t>2026-09-05</t>
        </is>
      </c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</row>
    <row r="93" outlineLevel="1">
      <c r="A93" s="5" t="inlineStr">
        <is>
          <t>7.g</t>
        </is>
      </c>
      <c r="B93" s="5" t="inlineStr">
        <is>
          <t>Pembayaran, Wallet &amp; Koin</t>
        </is>
      </c>
      <c r="C93" s="5" t="inlineStr">
        <is>
          <t>Halaman Admin</t>
        </is>
      </c>
      <c r="D93" s="18" t="inlineStr">
        <is>
          <t>Admin · Withdrawal</t>
        </is>
      </c>
      <c r="E93" s="5" t="inlineStr">
        <is>
          <t>Quality Check</t>
        </is>
      </c>
      <c r="F93" s="5" t="inlineStr">
        <is>
          <t>CMS direstrukturisasi 5 Sep.</t>
        </is>
      </c>
      <c r="G93" s="19" t="inlineStr">
        <is>
          <t>https://saloka.id/cms_admin/withdrawals</t>
        </is>
      </c>
      <c r="H93" s="5" t="inlineStr">
        <is>
          <t>Admin dengan izin “withdrawals”</t>
        </is>
      </c>
      <c r="I93" s="5" t="inlineStr">
        <is>
          <t>Memproses permintaan penarikan dana merchant &amp; affiliate.</t>
        </is>
      </c>
      <c r="J93" s="5" t="inlineStr">
        <is>
          <t>Permintaan penarikan</t>
        </is>
      </c>
      <c r="K93" s="5" t="inlineStr">
        <is>
          <t>Wallet, WalletTransaction</t>
        </is>
      </c>
      <c r="L93" s="5" t="n"/>
      <c r="M93" s="5" t="inlineStr">
        <is>
          <t>src/app/cms_admin/components/WithdrawalsTab.tsx</t>
        </is>
      </c>
      <c r="N93" s="5" t="n"/>
      <c r="O93" s="5" t="n"/>
      <c r="P93" s="5" t="inlineStr">
        <is>
          <t>2026-09-05</t>
        </is>
      </c>
      <c r="Q93" s="5" t="inlineStr">
        <is>
          <t>2026-09-05</t>
        </is>
      </c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</row>
    <row r="94" outlineLevel="1">
      <c r="A94" s="5" t="inlineStr">
        <is>
          <t>7.h</t>
        </is>
      </c>
      <c r="B94" s="5" t="inlineStr">
        <is>
          <t>Pembayaran, Wallet &amp; Koin</t>
        </is>
      </c>
      <c r="C94" s="5" t="inlineStr">
        <is>
          <t>Halaman Admin</t>
        </is>
      </c>
      <c r="D94" s="18" t="inlineStr">
        <is>
          <t>Admin · Koin &amp; Voucher</t>
        </is>
      </c>
      <c r="E94" s="5" t="inlineStr">
        <is>
          <t>Quality Check</t>
        </is>
      </c>
      <c r="F94" s="5" t="inlineStr">
        <is>
          <t>Angka supply diperbaiki 15 Agu; CMS direstrukturisasi 5 Sep.</t>
        </is>
      </c>
      <c r="G94" s="19" t="inlineStr">
        <is>
          <t>https://saloka.id/cms_admin/coins/supply</t>
        </is>
      </c>
      <c r="H94" s="5" t="inlineStr">
        <is>
          <t>Admin dengan izin “coins”</t>
        </is>
      </c>
      <c r="I94" s="5" t="inlineStr">
        <is>
          <t>Supply koin, pemegang koin, voucher, dan ledger.</t>
        </is>
      </c>
      <c r="J94" s="5" t="n"/>
      <c r="K94" s="5" t="inlineStr">
        <is>
          <t>CoinSystemConfig, CoinSupplyLog, CoinTransaction, CoinVoucher</t>
        </is>
      </c>
      <c r="L94" s="5" t="n"/>
      <c r="M94" s="5" t="inlineStr">
        <is>
          <t>src/app/cms_admin/components/CoinsTab.tsx</t>
        </is>
      </c>
      <c r="N94" s="5" t="n"/>
      <c r="O94" s="5" t="n"/>
      <c r="P94" s="5" t="inlineStr">
        <is>
          <t>2026-09-05</t>
        </is>
      </c>
      <c r="Q94" s="5" t="inlineStr">
        <is>
          <t>2026-09-05</t>
        </is>
      </c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</row>
    <row r="95" outlineLevel="2">
      <c r="A95" s="20" t="inlineStr">
        <is>
          <t>7.h.i</t>
        </is>
      </c>
      <c r="B95" s="20" t="inlineStr">
        <is>
          <t>Pembayaran, Wallet &amp; Koin</t>
        </is>
      </c>
      <c r="C95" s="20" t="inlineStr">
        <is>
          <t>Tab Admin</t>
        </is>
      </c>
      <c r="D95" s="21" t="inlineStr">
        <is>
          <t>Supply &amp; Distribusi</t>
        </is>
      </c>
      <c r="E95" s="20" t="inlineStr">
        <is>
          <t>Quality Check</t>
        </is>
      </c>
      <c r="F95" s="20" t="inlineStr">
        <is>
          <t>Data asli.</t>
        </is>
      </c>
      <c r="G95" s="19" t="inlineStr">
        <is>
          <t>https://saloka.id/cms_admin/coins/supply</t>
        </is>
      </c>
      <c r="H95" s="20" t="n"/>
      <c r="I95" s="20" t="inlineStr">
        <is>
          <t>Atur total supply dan distribusikan koin.</t>
        </is>
      </c>
      <c r="J95" s="20" t="n"/>
      <c r="K95" s="20" t="n"/>
      <c r="L95" s="20" t="inlineStr">
        <is>
          <t>coin.getCoinSupplyConfigAction, updateCoinSupplyAction, distributeCoinFromSupplyAction</t>
        </is>
      </c>
      <c r="M95" s="20" t="n"/>
      <c r="N95" s="20" t="n"/>
      <c r="O95" s="20" t="n"/>
      <c r="P95" s="20" t="n"/>
      <c r="Q95" s="20" t="n"/>
      <c r="R95" s="20" t="n"/>
      <c r="S95" s="20" t="n"/>
      <c r="T95" s="20" t="inlineStr">
        <is>
          <t>Supply koin beredar/tersedia salah; supply komunitas tidak berkurang saat alokasi</t>
        </is>
      </c>
      <c r="U95" s="20" t="inlineStr">
        <is>
          <t>—</t>
        </is>
      </c>
      <c r="V95" s="20" t="inlineStr">
        <is>
          <t>Total real-time; pengurangan otomatis (2c93abb, bea6b01)</t>
        </is>
      </c>
      <c r="W95" s="20" t="inlineStr">
        <is>
          <t>2026-08-15</t>
        </is>
      </c>
      <c r="X95" s="20" t="n"/>
      <c r="Y95" s="20" t="n"/>
      <c r="Z95" s="20" t="n"/>
      <c r="AA95" s="20" t="n"/>
      <c r="AB95" s="20" t="n"/>
      <c r="AC95" s="20" t="n"/>
      <c r="AD95" s="20" t="n"/>
      <c r="AE95" s="20" t="n"/>
      <c r="AF95" s="20" t="n"/>
      <c r="AG95" s="20" t="n"/>
      <c r="AH95" s="20" t="n"/>
      <c r="AI95" s="20" t="n"/>
    </row>
    <row r="96" outlineLevel="2">
      <c r="A96" s="20" t="inlineStr">
        <is>
          <t>7.h.ii</t>
        </is>
      </c>
      <c r="B96" s="20" t="inlineStr">
        <is>
          <t>Pembayaran, Wallet &amp; Koin</t>
        </is>
      </c>
      <c r="C96" s="20" t="inlineStr">
        <is>
          <t>Tab Admin</t>
        </is>
      </c>
      <c r="D96" s="21" t="inlineStr">
        <is>
          <t>Pemegang Koin</t>
        </is>
      </c>
      <c r="E96" s="20" t="inlineStr">
        <is>
          <t>Quality Check</t>
        </is>
      </c>
      <c r="F96" s="20" t="inlineStr">
        <is>
          <t>Data asli.</t>
        </is>
      </c>
      <c r="G96" s="19" t="inlineStr">
        <is>
          <t>https://saloka.id/cms_admin/coins/holders</t>
        </is>
      </c>
      <c r="H96" s="20" t="n"/>
      <c r="I96" s="20" t="inlineStr">
        <is>
          <t>Siapa saja pemegang koin; suntik koin.</t>
        </is>
      </c>
      <c r="J96" s="20" t="n"/>
      <c r="K96" s="20" t="n"/>
      <c r="L96" s="20" t="inlineStr">
        <is>
          <t>admin.getAllCoinHoldersAction, injectCoinAction</t>
        </is>
      </c>
      <c r="M96" s="20" t="n"/>
      <c r="N96" s="20" t="n"/>
      <c r="O96" s="20" t="n"/>
      <c r="P96" s="20" t="n"/>
      <c r="Q96" s="20" t="n"/>
      <c r="R96" s="20" t="n"/>
      <c r="S96" s="20" t="n"/>
      <c r="T96" s="20" t="n"/>
      <c r="U96" s="20" t="n"/>
      <c r="V96" s="20" t="n"/>
      <c r="W96" s="20" t="n"/>
      <c r="X96" s="20" t="n"/>
      <c r="Y96" s="20" t="n"/>
      <c r="Z96" s="20" t="n"/>
      <c r="AA96" s="20" t="n"/>
      <c r="AB96" s="20" t="n"/>
      <c r="AC96" s="20" t="n"/>
      <c r="AD96" s="20" t="n"/>
      <c r="AE96" s="20" t="n"/>
      <c r="AF96" s="20" t="n"/>
      <c r="AG96" s="20" t="n"/>
      <c r="AH96" s="20" t="n"/>
      <c r="AI96" s="20" t="n"/>
    </row>
    <row r="97" outlineLevel="2">
      <c r="A97" s="20" t="inlineStr">
        <is>
          <t>7.h.iii</t>
        </is>
      </c>
      <c r="B97" s="20" t="inlineStr">
        <is>
          <t>Pembayaran, Wallet &amp; Koin</t>
        </is>
      </c>
      <c r="C97" s="20" t="inlineStr">
        <is>
          <t>Tab Admin</t>
        </is>
      </c>
      <c r="D97" s="21" t="inlineStr">
        <is>
          <t>Voucher</t>
        </is>
      </c>
      <c r="E97" s="20" t="inlineStr">
        <is>
          <t>Quality Check</t>
        </is>
      </c>
      <c r="F97" s="20" t="inlineStr">
        <is>
          <t>Data asli.</t>
        </is>
      </c>
      <c r="G97" s="19" t="inlineStr">
        <is>
          <t>https://saloka.id/cms_admin/coins/voucher</t>
        </is>
      </c>
      <c r="H97" s="20" t="n"/>
      <c r="I97" s="20" t="inlineStr">
        <is>
          <t>Buat dan aktifkan/nonaktifkan voucher koin.</t>
        </is>
      </c>
      <c r="J97" s="20" t="n"/>
      <c r="K97" s="20" t="n"/>
      <c r="L97" s="20" t="inlineStr">
        <is>
          <t>coin.createCoinVoucherAdmin, toggleCoinVoucherActive</t>
        </is>
      </c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 t="n"/>
      <c r="Y97" s="20" t="n"/>
      <c r="Z97" s="20" t="n"/>
      <c r="AA97" s="20" t="n"/>
      <c r="AB97" s="20" t="n"/>
      <c r="AC97" s="20" t="n"/>
      <c r="AD97" s="20" t="n"/>
      <c r="AE97" s="20" t="n"/>
      <c r="AF97" s="20" t="n"/>
      <c r="AG97" s="20" t="n"/>
      <c r="AH97" s="20" t="n"/>
      <c r="AI97" s="20" t="n"/>
    </row>
    <row r="98" outlineLevel="2">
      <c r="A98" s="20" t="inlineStr">
        <is>
          <t>7.h.iv</t>
        </is>
      </c>
      <c r="B98" s="20" t="inlineStr">
        <is>
          <t>Pembayaran, Wallet &amp; Koin</t>
        </is>
      </c>
      <c r="C98" s="20" t="inlineStr">
        <is>
          <t>Tab Admin</t>
        </is>
      </c>
      <c r="D98" s="21" t="inlineStr">
        <is>
          <t>Ledger</t>
        </is>
      </c>
      <c r="E98" s="20" t="inlineStr">
        <is>
          <t>Quality Check</t>
        </is>
      </c>
      <c r="F98" s="20" t="inlineStr">
        <is>
          <t>Data asli.</t>
        </is>
      </c>
      <c r="G98" s="19" t="inlineStr">
        <is>
          <t>https://saloka.id/cms_admin/coins/ledger</t>
        </is>
      </c>
      <c r="H98" s="20" t="n"/>
      <c r="I98" s="20" t="inlineStr">
        <is>
          <t>Log supply koin.</t>
        </is>
      </c>
      <c r="J98" s="20" t="n"/>
      <c r="K98" s="20" t="n"/>
      <c r="L98" s="20" t="inlineStr">
        <is>
          <t>coin.getCoinSupplyLogsAction</t>
        </is>
      </c>
      <c r="M98" s="20" t="n"/>
      <c r="N98" s="20" t="n"/>
      <c r="O98" s="20" t="n"/>
      <c r="P98" s="20" t="n"/>
      <c r="Q98" s="20" t="n"/>
      <c r="R98" s="20" t="n"/>
      <c r="S98" s="20" t="n"/>
      <c r="T98" s="20" t="n"/>
      <c r="U98" s="20" t="n"/>
      <c r="V98" s="20" t="n"/>
      <c r="W98" s="20" t="n"/>
      <c r="X98" s="20" t="n"/>
      <c r="Y98" s="20" t="n"/>
      <c r="Z98" s="20" t="n"/>
      <c r="AA98" s="20" t="n"/>
      <c r="AB98" s="20" t="n"/>
      <c r="AC98" s="20" t="n"/>
      <c r="AD98" s="20" t="n"/>
      <c r="AE98" s="20" t="n"/>
      <c r="AF98" s="20" t="n"/>
      <c r="AG98" s="20" t="n"/>
      <c r="AH98" s="20" t="n"/>
      <c r="AI98" s="20" t="n"/>
    </row>
    <row r="99" outlineLevel="1">
      <c r="A99" s="5" t="inlineStr">
        <is>
          <t>7.i</t>
        </is>
      </c>
      <c r="B99" s="5" t="inlineStr">
        <is>
          <t>Pembayaran, Wallet &amp; Koin</t>
        </is>
      </c>
      <c r="C99" s="5" t="inlineStr">
        <is>
          <t>Halaman Admin</t>
        </is>
      </c>
      <c r="D99" s="18" t="inlineStr">
        <is>
          <t>Admin · Metode Pembayaran</t>
        </is>
      </c>
      <c r="E99" s="5" t="inlineStr">
        <is>
          <t>Quality Check</t>
        </is>
      </c>
      <c r="F99" s="5" t="inlineStr">
        <is>
          <t>Dibuat 8 Agu; perannya di samping DOKU perlu dikonfirmasi.</t>
        </is>
      </c>
      <c r="G99" s="19" t="inlineStr">
        <is>
          <t>https://saloka.id/cms_admin/payment-methods</t>
        </is>
      </c>
      <c r="H99" s="5" t="inlineStr">
        <is>
          <t>Admin dengan izin “payment-methods”</t>
        </is>
      </c>
      <c r="I99" s="5" t="inlineStr">
        <is>
          <t>Rekening bank manual dan QRIS yang ditawarkan saat checkout.</t>
        </is>
      </c>
      <c r="J99" s="5" t="inlineStr">
        <is>
          <t>Metode pembayaran</t>
        </is>
      </c>
      <c r="K99" s="5" t="inlineStr">
        <is>
          <t>PaymentMethod</t>
        </is>
      </c>
      <c r="L99" s="5" t="inlineStr">
        <is>
          <t>/api/admin/payment-methods</t>
        </is>
      </c>
      <c r="M99" s="5" t="inlineStr">
        <is>
          <t>src/app/cms_admin/components/PaymentMethodsTab.tsx</t>
        </is>
      </c>
      <c r="N99" s="5" t="n"/>
      <c r="O99" s="5" t="n"/>
      <c r="P99" s="5" t="inlineStr">
        <is>
          <t>2026-08-08</t>
        </is>
      </c>
      <c r="Q99" s="5" t="inlineStr">
        <is>
          <t>2026-09-05</t>
        </is>
      </c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</row>
    <row r="100">
      <c r="A100" s="17" t="inlineStr">
        <is>
          <t>8</t>
        </is>
      </c>
      <c r="B100" s="17" t="inlineStr">
        <is>
          <t>Alat Merchant &amp; Storefront</t>
        </is>
      </c>
      <c r="C100" s="17" t="inlineStr">
        <is>
          <t>Fitur</t>
        </is>
      </c>
      <c r="D100" s="17" t="inlineStr">
        <is>
          <t>Alat Merchant &amp; Storefront</t>
        </is>
      </c>
      <c r="E100" s="17" t="inlineStr">
        <is>
          <t>Quality Check</t>
        </is>
      </c>
      <c r="F100" s="17" t="inlineStr">
        <is>
          <t>Dashboard, builder, dan storefront berjalan; kustomisasi storefront hanya tersimpan di browser.</t>
        </is>
      </c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</row>
    <row r="101" outlineLevel="1">
      <c r="A101" s="5" t="inlineStr">
        <is>
          <t>8.a</t>
        </is>
      </c>
      <c r="B101" s="5" t="inlineStr">
        <is>
          <t>Alat Merchant &amp; Storefront</t>
        </is>
      </c>
      <c r="C101" s="5" t="inlineStr">
        <is>
          <t>Halaman</t>
        </is>
      </c>
      <c r="D101" s="18" t="inlineStr">
        <is>
          <t>Dashboard merchant</t>
        </is>
      </c>
      <c r="E101" s="5" t="inlineStr">
        <is>
          <t>Quality Check</t>
        </is>
      </c>
      <c r="F101" s="5" t="inlineStr">
        <is>
          <t>Diubah 12 Sep (varian produk).</t>
        </is>
      </c>
      <c r="G101" s="19" t="inlineStr">
        <is>
          <t>https://saloka.id/merchant/dashboard?tab=overview</t>
        </is>
      </c>
      <c r="H101" s="5" t="inlineStr">
        <is>
          <t>Merchant yang tergabung dalam komunitas (Komunitas Induk)</t>
        </is>
      </c>
      <c r="I101" s="5" t="inlineStr">
        <is>
          <t>Back office merchant. Tab di bawah.</t>
        </is>
      </c>
      <c r="J101" s="5" t="n"/>
      <c r="K101" s="5" t="inlineStr">
        <is>
          <t>Product, Service, ServiceBooking, Order, OrderTracking, MerchantLevelRequest, User</t>
        </is>
      </c>
      <c r="L101" s="5" t="inlineStr">
        <is>
          <t>products.*; services.*; orders.getMerchantOrders, updateOrderTracking, updateShippingLabel; analytics.getMerchantAnalytics; admin.createLevelRequestAction; lms.getCourses; bootcamp.joinBootcampAction; /api/ai/generate</t>
        </is>
      </c>
      <c r="M101" s="5" t="inlineStr">
        <is>
          <t>src/app/merchant/dashboard/page.tsx</t>
        </is>
      </c>
      <c r="N101" s="5" t="n"/>
      <c r="O101" s="5" t="n"/>
      <c r="P101" s="5" t="inlineStr">
        <is>
          <t>2026-05-30</t>
        </is>
      </c>
      <c r="Q101" s="5" t="inlineStr">
        <is>
          <t>2026-09-12</t>
        </is>
      </c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</row>
    <row r="102" outlineLevel="2">
      <c r="A102" s="20" t="inlineStr">
        <is>
          <t>8.a.i</t>
        </is>
      </c>
      <c r="B102" s="20" t="inlineStr">
        <is>
          <t>Alat Merchant &amp; Storefront</t>
        </is>
      </c>
      <c r="C102" s="20" t="inlineStr">
        <is>
          <t>Tab</t>
        </is>
      </c>
      <c r="D102" s="21" t="inlineStr">
        <is>
          <t>Ringkasan Toko</t>
        </is>
      </c>
      <c r="E102" s="20" t="inlineStr">
        <is>
          <t>Quality Check</t>
        </is>
      </c>
      <c r="F102" s="20" t="inlineStr">
        <is>
          <t>Bagian dari Dashboard merchant (diubah 12 Sep).</t>
        </is>
      </c>
      <c r="G102" s="19" t="inlineStr">
        <is>
          <t>https://saloka.id/merchant/dashboard?tab=overview</t>
        </is>
      </c>
      <c r="H102" s="20" t="inlineStr">
        <is>
          <t>Merchant</t>
        </is>
      </c>
      <c r="I102" s="20" t="inlineStr">
        <is>
          <t>Ringkasan toko.</t>
        </is>
      </c>
      <c r="J102" s="20" t="n"/>
      <c r="K102" s="20" t="n"/>
      <c r="L102" s="20" t="n"/>
      <c r="M102" s="20" t="inlineStr">
        <is>
          <t>src/app/merchant/dashboard/page.tsx</t>
        </is>
      </c>
      <c r="N102" s="20" t="n"/>
      <c r="O102" s="20" t="n"/>
      <c r="P102" s="20" t="inlineStr">
        <is>
          <t>2026-05-30</t>
        </is>
      </c>
      <c r="Q102" s="20" t="inlineStr">
        <is>
          <t>2026-09-12</t>
        </is>
      </c>
      <c r="R102" s="20" t="n"/>
      <c r="S102" s="20" t="n"/>
      <c r="T102" s="20" t="n"/>
      <c r="U102" s="20" t="n"/>
      <c r="V102" s="20" t="n"/>
      <c r="W102" s="20" t="n"/>
      <c r="X102" s="20" t="n"/>
      <c r="Y102" s="20" t="n"/>
      <c r="Z102" s="20" t="n"/>
      <c r="AA102" s="20" t="n"/>
      <c r="AB102" s="20" t="n"/>
      <c r="AC102" s="20" t="n"/>
      <c r="AD102" s="20" t="n"/>
      <c r="AE102" s="20" t="n"/>
      <c r="AF102" s="20" t="n"/>
      <c r="AG102" s="20" t="n"/>
      <c r="AH102" s="20" t="n"/>
      <c r="AI102" s="20" t="n"/>
    </row>
    <row r="103" outlineLevel="2">
      <c r="A103" s="20" t="inlineStr">
        <is>
          <t>8.a.ii</t>
        </is>
      </c>
      <c r="B103" s="20" t="inlineStr">
        <is>
          <t>Alat Merchant &amp; Storefront</t>
        </is>
      </c>
      <c r="C103" s="20" t="inlineStr">
        <is>
          <t>Tab</t>
        </is>
      </c>
      <c r="D103" s="21" t="inlineStr">
        <is>
          <t>Katalog Produk</t>
        </is>
      </c>
      <c r="E103" s="20" t="inlineStr">
        <is>
          <t>Quality Check</t>
        </is>
      </c>
      <c r="F103" s="20" t="inlineStr">
        <is>
          <t>Bagian dari Dashboard merchant (diubah 12 Sep).</t>
        </is>
      </c>
      <c r="G103" s="19" t="inlineStr">
        <is>
          <t>https://saloka.id/merchant/dashboard?tab=catalog</t>
        </is>
      </c>
      <c r="H103" s="20" t="inlineStr">
        <is>
          <t>Merchant</t>
        </is>
      </c>
      <c r="I103" s="20" t="inlineStr">
        <is>
          <t>Edit/hapus produk; pengaturan affiliate untuk semua produk.</t>
        </is>
      </c>
      <c r="J103" s="20" t="n"/>
      <c r="K103" s="20" t="n"/>
      <c r="L103" s="20" t="n"/>
      <c r="M103" s="20" t="inlineStr">
        <is>
          <t>src/app/merchant/dashboard/page.tsx</t>
        </is>
      </c>
      <c r="N103" s="20" t="n"/>
      <c r="O103" s="20" t="n"/>
      <c r="P103" s="20" t="inlineStr">
        <is>
          <t>2026-05-30</t>
        </is>
      </c>
      <c r="Q103" s="20" t="inlineStr">
        <is>
          <t>2026-09-12</t>
        </is>
      </c>
      <c r="R103" s="20" t="n"/>
      <c r="S103" s="20" t="n"/>
      <c r="T103" s="20" t="n"/>
      <c r="U103" s="20" t="n"/>
      <c r="V103" s="20" t="n"/>
      <c r="W103" s="20" t="n"/>
      <c r="X103" s="20" t="n"/>
      <c r="Y103" s="20" t="n"/>
      <c r="Z103" s="20" t="n"/>
      <c r="AA103" s="20" t="n"/>
      <c r="AB103" s="20" t="n"/>
      <c r="AC103" s="20" t="n"/>
      <c r="AD103" s="20" t="n"/>
      <c r="AE103" s="20" t="n"/>
      <c r="AF103" s="20" t="n"/>
      <c r="AG103" s="20" t="n"/>
      <c r="AH103" s="20" t="n"/>
      <c r="AI103" s="20" t="n"/>
    </row>
    <row r="104" outlineLevel="2">
      <c r="A104" s="20" t="inlineStr">
        <is>
          <t>8.a.iii</t>
        </is>
      </c>
      <c r="B104" s="20" t="inlineStr">
        <is>
          <t>Alat Merchant &amp; Storefront</t>
        </is>
      </c>
      <c r="C104" s="20" t="inlineStr">
        <is>
          <t>Tab</t>
        </is>
      </c>
      <c r="D104" s="21" t="inlineStr">
        <is>
          <t>Tambah Produk</t>
        </is>
      </c>
      <c r="E104" s="20" t="inlineStr">
        <is>
          <t>Quality Check</t>
        </is>
      </c>
      <c r="F104" s="20" t="inlineStr">
        <is>
          <t>Bagian dari Dashboard merchant (diubah 12 Sep).</t>
        </is>
      </c>
      <c r="G104" s="19" t="inlineStr">
        <is>
          <t>https://saloka.id/merchant/dashboard?tab=add</t>
        </is>
      </c>
      <c r="H104" s="20" t="inlineStr">
        <is>
          <t>Merchant</t>
        </is>
      </c>
      <c r="I104" s="20" t="inlineStr">
        <is>
          <t>Buat produk dengan varian dan deskripsi yang ditulis AI.</t>
        </is>
      </c>
      <c r="J104" s="20" t="n"/>
      <c r="K104" s="20" t="n"/>
      <c r="L104" s="20" t="n"/>
      <c r="M104" s="20" t="inlineStr">
        <is>
          <t>src/app/merchant/dashboard/page.tsx</t>
        </is>
      </c>
      <c r="N104" s="20" t="n"/>
      <c r="O104" s="20" t="n"/>
      <c r="P104" s="20" t="inlineStr">
        <is>
          <t>2026-05-30</t>
        </is>
      </c>
      <c r="Q104" s="20" t="inlineStr">
        <is>
          <t>2026-09-12</t>
        </is>
      </c>
      <c r="R104" s="20" t="n"/>
      <c r="S104" s="20" t="n"/>
      <c r="T104" s="20" t="n"/>
      <c r="U104" s="20" t="n"/>
      <c r="V104" s="20" t="n"/>
      <c r="W104" s="20" t="n"/>
      <c r="X104" s="20" t="n"/>
      <c r="Y104" s="20" t="n"/>
      <c r="Z104" s="20" t="n"/>
      <c r="AA104" s="20" t="n"/>
      <c r="AB104" s="20" t="n"/>
      <c r="AC104" s="20" t="n"/>
      <c r="AD104" s="20" t="n"/>
      <c r="AE104" s="20" t="n"/>
      <c r="AF104" s="20" t="n"/>
      <c r="AG104" s="20" t="n"/>
      <c r="AH104" s="20" t="n"/>
      <c r="AI104" s="20" t="n"/>
    </row>
    <row r="105" outlineLevel="2">
      <c r="A105" s="20" t="inlineStr">
        <is>
          <t>8.a.iv</t>
        </is>
      </c>
      <c r="B105" s="20" t="inlineStr">
        <is>
          <t>Alat Merchant &amp; Storefront</t>
        </is>
      </c>
      <c r="C105" s="20" t="inlineStr">
        <is>
          <t>Tab</t>
        </is>
      </c>
      <c r="D105" s="21" t="inlineStr">
        <is>
          <t>Layanan Jasa</t>
        </is>
      </c>
      <c r="E105" s="20" t="inlineStr">
        <is>
          <t>Quality Check</t>
        </is>
      </c>
      <c r="F105" s="20" t="inlineStr">
        <is>
          <t>Bagian dari Dashboard merchant (diubah 12 Sep).</t>
        </is>
      </c>
      <c r="G105" s="19" t="inlineStr">
        <is>
          <t>https://saloka.id/merchant/dashboard?tab=services</t>
        </is>
      </c>
      <c r="H105" s="20" t="inlineStr">
        <is>
          <t>Merchant</t>
        </is>
      </c>
      <c r="I105" s="20" t="inlineStr">
        <is>
          <t>Buat/edit jasa dan ketersediaannya.</t>
        </is>
      </c>
      <c r="J105" s="20" t="n"/>
      <c r="K105" s="20" t="n"/>
      <c r="L105" s="20" t="n"/>
      <c r="M105" s="20" t="inlineStr">
        <is>
          <t>src/app/merchant/dashboard/page.tsx</t>
        </is>
      </c>
      <c r="N105" s="20" t="n"/>
      <c r="O105" s="20" t="n"/>
      <c r="P105" s="20" t="inlineStr">
        <is>
          <t>2026-05-30</t>
        </is>
      </c>
      <c r="Q105" s="20" t="inlineStr">
        <is>
          <t>2026-09-12</t>
        </is>
      </c>
      <c r="R105" s="20" t="n"/>
      <c r="S105" s="20" t="n"/>
      <c r="T105" s="20" t="n"/>
      <c r="U105" s="20" t="n"/>
      <c r="V105" s="20" t="n"/>
      <c r="W105" s="20" t="n"/>
      <c r="X105" s="20" t="n"/>
      <c r="Y105" s="20" t="n"/>
      <c r="Z105" s="20" t="n"/>
      <c r="AA105" s="20" t="n"/>
      <c r="AB105" s="20" t="n"/>
      <c r="AC105" s="20" t="n"/>
      <c r="AD105" s="20" t="n"/>
      <c r="AE105" s="20" t="n"/>
      <c r="AF105" s="20" t="n"/>
      <c r="AG105" s="20" t="n"/>
      <c r="AH105" s="20" t="n"/>
      <c r="AI105" s="20" t="n"/>
    </row>
    <row r="106" outlineLevel="2">
      <c r="A106" s="20" t="inlineStr">
        <is>
          <t>8.a.v</t>
        </is>
      </c>
      <c r="B106" s="20" t="inlineStr">
        <is>
          <t>Alat Merchant &amp; Storefront</t>
        </is>
      </c>
      <c r="C106" s="20" t="inlineStr">
        <is>
          <t>Tab</t>
        </is>
      </c>
      <c r="D106" s="21" t="inlineStr">
        <is>
          <t>Booking Jasa</t>
        </is>
      </c>
      <c r="E106" s="20" t="inlineStr">
        <is>
          <t>Quality Check</t>
        </is>
      </c>
      <c r="F106" s="20" t="inlineStr">
        <is>
          <t>Bagian dari Dashboard merchant (diubah 12 Sep).</t>
        </is>
      </c>
      <c r="G106" s="19" t="inlineStr">
        <is>
          <t>https://saloka.id/merchant/dashboard?tab=bookings</t>
        </is>
      </c>
      <c r="H106" s="20" t="inlineStr">
        <is>
          <t>Merchant</t>
        </is>
      </c>
      <c r="I106" s="20" t="inlineStr">
        <is>
          <t>Booking jasa yang masuk; terima/tolak.</t>
        </is>
      </c>
      <c r="J106" s="20" t="n"/>
      <c r="K106" s="20" t="n"/>
      <c r="L106" s="20" t="n"/>
      <c r="M106" s="20" t="inlineStr">
        <is>
          <t>src/app/merchant/dashboard/page.tsx</t>
        </is>
      </c>
      <c r="N106" s="20" t="n"/>
      <c r="O106" s="20" t="n"/>
      <c r="P106" s="20" t="inlineStr">
        <is>
          <t>2026-05-30</t>
        </is>
      </c>
      <c r="Q106" s="20" t="inlineStr">
        <is>
          <t>2026-09-12</t>
        </is>
      </c>
      <c r="R106" s="20" t="n"/>
      <c r="S106" s="20" t="n"/>
      <c r="T106" s="20" t="n"/>
      <c r="U106" s="20" t="n"/>
      <c r="V106" s="20" t="n"/>
      <c r="W106" s="20" t="n"/>
      <c r="X106" s="20" t="n"/>
      <c r="Y106" s="20" t="n"/>
      <c r="Z106" s="20" t="n"/>
      <c r="AA106" s="20" t="n"/>
      <c r="AB106" s="20" t="n"/>
      <c r="AC106" s="20" t="n"/>
      <c r="AD106" s="20" t="n"/>
      <c r="AE106" s="20" t="n"/>
      <c r="AF106" s="20" t="n"/>
      <c r="AG106" s="20" t="n"/>
      <c r="AH106" s="20" t="n"/>
      <c r="AI106" s="20" t="n"/>
    </row>
    <row r="107" outlineLevel="2">
      <c r="A107" s="20" t="inlineStr">
        <is>
          <t>8.a.vi</t>
        </is>
      </c>
      <c r="B107" s="20" t="inlineStr">
        <is>
          <t>Alat Merchant &amp; Storefront</t>
        </is>
      </c>
      <c r="C107" s="20" t="inlineStr">
        <is>
          <t>Tab</t>
        </is>
      </c>
      <c r="D107" s="21" t="inlineStr">
        <is>
          <t>Pesanan Masuk</t>
        </is>
      </c>
      <c r="E107" s="20" t="inlineStr">
        <is>
          <t>Quality Check</t>
        </is>
      </c>
      <c r="F107" s="20" t="inlineStr">
        <is>
          <t>Bagian dari Dashboard merchant (diubah 12 Sep).</t>
        </is>
      </c>
      <c r="G107" s="19" t="inlineStr">
        <is>
          <t>https://saloka.id/merchant/dashboard?tab=orders</t>
        </is>
      </c>
      <c r="H107" s="20" t="inlineStr">
        <is>
          <t>Merchant</t>
        </is>
      </c>
      <c r="I107" s="20" t="inlineStr">
        <is>
          <t>Pesanan yang masuk; update pelacakan dan label pengiriman.</t>
        </is>
      </c>
      <c r="J107" s="20" t="n"/>
      <c r="K107" s="20" t="n"/>
      <c r="L107" s="20" t="n"/>
      <c r="M107" s="20" t="inlineStr">
        <is>
          <t>src/app/merchant/dashboard/page.tsx</t>
        </is>
      </c>
      <c r="N107" s="20" t="n"/>
      <c r="O107" s="20" t="inlineStr">
        <is>
          <t>Pelacakan diperbarui manual; belum ada sinkronisasi kurir.</t>
        </is>
      </c>
      <c r="P107" s="20" t="inlineStr">
        <is>
          <t>2026-05-30</t>
        </is>
      </c>
      <c r="Q107" s="20" t="inlineStr">
        <is>
          <t>2026-09-12</t>
        </is>
      </c>
      <c r="R107" s="20" t="n"/>
      <c r="S107" s="20" t="n"/>
      <c r="T107" s="20" t="n"/>
      <c r="U107" s="20" t="n"/>
      <c r="V107" s="20" t="n"/>
      <c r="W107" s="20" t="n"/>
      <c r="X107" s="20" t="n"/>
      <c r="Y107" s="20" t="n"/>
      <c r="Z107" s="20" t="n"/>
      <c r="AA107" s="20" t="n"/>
      <c r="AB107" s="20" t="n"/>
      <c r="AC107" s="20" t="n"/>
      <c r="AD107" s="20" t="n"/>
      <c r="AE107" s="20" t="n"/>
      <c r="AF107" s="20" t="n"/>
      <c r="AG107" s="20" t="n"/>
      <c r="AH107" s="20" t="n"/>
      <c r="AI107" s="20" t="n"/>
    </row>
    <row r="108" outlineLevel="2">
      <c r="A108" s="20" t="inlineStr">
        <is>
          <t>8.a.vii</t>
        </is>
      </c>
      <c r="B108" s="20" t="inlineStr">
        <is>
          <t>Alat Merchant &amp; Storefront</t>
        </is>
      </c>
      <c r="C108" s="20" t="inlineStr">
        <is>
          <t>Tab</t>
        </is>
      </c>
      <c r="D108" s="21" t="inlineStr">
        <is>
          <t>Analitik Bisnis</t>
        </is>
      </c>
      <c r="E108" s="20" t="inlineStr">
        <is>
          <t>Quality Check</t>
        </is>
      </c>
      <c r="F108" s="20" t="inlineStr">
        <is>
          <t>Bagian dari Dashboard merchant (diubah 12 Sep).</t>
        </is>
      </c>
      <c r="G108" s="19" t="inlineStr">
        <is>
          <t>https://saloka.id/merchant/dashboard?tab=analytics</t>
        </is>
      </c>
      <c r="H108" s="20" t="inlineStr">
        <is>
          <t>Merchant</t>
        </is>
      </c>
      <c r="I108" s="20" t="inlineStr">
        <is>
          <t>Analitik penjualan dan produk.</t>
        </is>
      </c>
      <c r="J108" s="20" t="n"/>
      <c r="K108" s="20" t="n"/>
      <c r="L108" s="20" t="n"/>
      <c r="M108" s="20" t="inlineStr">
        <is>
          <t>src/app/merchant/dashboard/page.tsx</t>
        </is>
      </c>
      <c r="N108" s="20" t="n"/>
      <c r="O108" s="20" t="n"/>
      <c r="P108" s="20" t="inlineStr">
        <is>
          <t>2026-05-30</t>
        </is>
      </c>
      <c r="Q108" s="20" t="inlineStr">
        <is>
          <t>2026-09-12</t>
        </is>
      </c>
      <c r="R108" s="20" t="n"/>
      <c r="S108" s="20" t="n"/>
      <c r="T108" s="20" t="n"/>
      <c r="U108" s="20" t="n"/>
      <c r="V108" s="20" t="n"/>
      <c r="W108" s="20" t="n"/>
      <c r="X108" s="20" t="n"/>
      <c r="Y108" s="20" t="n"/>
      <c r="Z108" s="20" t="n"/>
      <c r="AA108" s="20" t="n"/>
      <c r="AB108" s="20" t="n"/>
      <c r="AC108" s="20" t="n"/>
      <c r="AD108" s="20" t="n"/>
      <c r="AE108" s="20" t="n"/>
      <c r="AF108" s="20" t="n"/>
      <c r="AG108" s="20" t="n"/>
      <c r="AH108" s="20" t="n"/>
      <c r="AI108" s="20" t="n"/>
    </row>
    <row r="109" outlineLevel="2">
      <c r="A109" s="20" t="inlineStr">
        <is>
          <t>8.a.viii</t>
        </is>
      </c>
      <c r="B109" s="20" t="inlineStr">
        <is>
          <t>Alat Merchant &amp; Storefront</t>
        </is>
      </c>
      <c r="C109" s="20" t="inlineStr">
        <is>
          <t>Tab</t>
        </is>
      </c>
      <c r="D109" s="21" t="inlineStr">
        <is>
          <t>Daftar Halaman &amp; Domain</t>
        </is>
      </c>
      <c r="E109" s="20" t="inlineStr">
        <is>
          <t>Quality Check</t>
        </is>
      </c>
      <c r="F109" s="20" t="inlineStr">
        <is>
          <t>Bagian dari Dashboard merchant (diubah 12 Sep).</t>
        </is>
      </c>
      <c r="G109" s="19" t="inlineStr">
        <is>
          <t>https://saloka.id/merchant/dashboard?tab=pages</t>
        </is>
      </c>
      <c r="H109" s="20" t="inlineStr">
        <is>
          <t>Merchant</t>
        </is>
      </c>
      <c r="I109" s="20" t="inlineStr">
        <is>
          <t>Landing page dan subdomain toko.</t>
        </is>
      </c>
      <c r="J109" s="20" t="n"/>
      <c r="K109" s="20" t="n"/>
      <c r="L109" s="20" t="n"/>
      <c r="M109" s="20" t="inlineStr">
        <is>
          <t>src/app/merchant/dashboard/page.tsx</t>
        </is>
      </c>
      <c r="N109" s="20" t="n"/>
      <c r="O109" s="20" t="n"/>
      <c r="P109" s="20" t="inlineStr">
        <is>
          <t>2026-05-30</t>
        </is>
      </c>
      <c r="Q109" s="20" t="inlineStr">
        <is>
          <t>2026-09-12</t>
        </is>
      </c>
      <c r="R109" s="20" t="n"/>
      <c r="S109" s="20" t="n"/>
      <c r="T109" s="20" t="n"/>
      <c r="U109" s="20" t="n"/>
      <c r="V109" s="20" t="n"/>
      <c r="W109" s="20" t="n"/>
      <c r="X109" s="20" t="n"/>
      <c r="Y109" s="20" t="n"/>
      <c r="Z109" s="20" t="n"/>
      <c r="AA109" s="20" t="n"/>
      <c r="AB109" s="20" t="n"/>
      <c r="AC109" s="20" t="n"/>
      <c r="AD109" s="20" t="n"/>
      <c r="AE109" s="20" t="n"/>
      <c r="AF109" s="20" t="n"/>
      <c r="AG109" s="20" t="n"/>
      <c r="AH109" s="20" t="n"/>
      <c r="AI109" s="20" t="n"/>
    </row>
    <row r="110" outlineLevel="2">
      <c r="A110" s="20" t="inlineStr">
        <is>
          <t>8.a.ix</t>
        </is>
      </c>
      <c r="B110" s="20" t="inlineStr">
        <is>
          <t>Alat Merchant &amp; Storefront</t>
        </is>
      </c>
      <c r="C110" s="20" t="inlineStr">
        <is>
          <t>Tab</t>
        </is>
      </c>
      <c r="D110" s="21" t="inlineStr">
        <is>
          <t>Kustomisasi Storefront</t>
        </is>
      </c>
      <c r="E110" s="20" t="inlineStr">
        <is>
          <t>Sedang Berjalan</t>
        </is>
      </c>
      <c r="F110" s="20" t="inlineStr">
        <is>
          <t>Pengaturan tidak disimpan ke database.</t>
        </is>
      </c>
      <c r="G110" s="19" t="inlineStr">
        <is>
          <t>https://saloka.id/merchant/dashboard?tab=customization</t>
        </is>
      </c>
      <c r="H110" s="20" t="inlineStr">
        <is>
          <t>Merchant</t>
        </is>
      </c>
      <c r="I110" s="20" t="inlineStr">
        <is>
          <t>Tema, tata letak, banner, dan bagian-bagian storefront.</t>
        </is>
      </c>
      <c r="J110" s="20" t="n"/>
      <c r="K110" s="20" t="n"/>
      <c r="L110" s="20" t="n"/>
      <c r="M110" s="20" t="inlineStr">
        <is>
          <t>src/app/merchant/dashboard/page.tsx</t>
        </is>
      </c>
      <c r="N110" s="20" t="n"/>
      <c r="O110" s="20" t="inlineStr">
        <is>
          <t>Disimpan di localStorage browser (storefront_theme, _layout, _banner…) — tidak tersinkron antar perangkat.</t>
        </is>
      </c>
      <c r="P110" s="20" t="inlineStr">
        <is>
          <t>2026-05-30</t>
        </is>
      </c>
      <c r="Q110" s="20" t="inlineStr">
        <is>
          <t>2026-09-12</t>
        </is>
      </c>
      <c r="R110" s="20" t="n"/>
      <c r="S110" s="20" t="n"/>
      <c r="T110" s="20" t="n"/>
      <c r="U110" s="20" t="n"/>
      <c r="V110" s="20" t="n"/>
      <c r="W110" s="20" t="n"/>
      <c r="X110" s="20" t="n"/>
      <c r="Y110" s="20" t="n"/>
      <c r="Z110" s="20" t="n"/>
      <c r="AA110" s="20" t="n"/>
      <c r="AB110" s="20" t="n"/>
      <c r="AC110" s="20" t="n"/>
      <c r="AD110" s="20" t="n"/>
      <c r="AE110" s="20" t="n"/>
      <c r="AF110" s="20" t="n"/>
      <c r="AG110" s="20" t="n"/>
      <c r="AH110" s="20" t="n"/>
      <c r="AI110" s="20" t="n"/>
    </row>
    <row r="111" outlineLevel="2">
      <c r="A111" s="20" t="inlineStr">
        <is>
          <t>8.a.x</t>
        </is>
      </c>
      <c r="B111" s="20" t="inlineStr">
        <is>
          <t>Alat Merchant &amp; Storefront</t>
        </is>
      </c>
      <c r="C111" s="20" t="inlineStr">
        <is>
          <t>Tab</t>
        </is>
      </c>
      <c r="D111" s="21" t="inlineStr">
        <is>
          <t>LMS Academy</t>
        </is>
      </c>
      <c r="E111" s="20" t="inlineStr">
        <is>
          <t>Quality Check</t>
        </is>
      </c>
      <c r="F111" s="20" t="inlineStr">
        <is>
          <t>Bagian dari Dashboard merchant (diubah 12 Sep).</t>
        </is>
      </c>
      <c r="G111" s="19" t="inlineStr">
        <is>
          <t>https://saloka.id/merchant/dashboard?tab=academy</t>
        </is>
      </c>
      <c r="H111" s="20" t="inlineStr">
        <is>
          <t>Merchant</t>
        </is>
      </c>
      <c r="I111" s="20" t="inlineStr">
        <is>
          <t>Kursus dan pendaftaran bootcamp untuk merchant.</t>
        </is>
      </c>
      <c r="J111" s="20" t="n"/>
      <c r="K111" s="20" t="n"/>
      <c r="L111" s="20" t="n"/>
      <c r="M111" s="20" t="inlineStr">
        <is>
          <t>src/app/merchant/dashboard/page.tsx</t>
        </is>
      </c>
      <c r="N111" s="20" t="n"/>
      <c r="O111" s="20" t="n"/>
      <c r="P111" s="20" t="inlineStr">
        <is>
          <t>2026-05-30</t>
        </is>
      </c>
      <c r="Q111" s="20" t="inlineStr">
        <is>
          <t>2026-09-12</t>
        </is>
      </c>
      <c r="R111" s="20" t="n"/>
      <c r="S111" s="20" t="n"/>
      <c r="T111" s="20" t="n"/>
      <c r="U111" s="20" t="n"/>
      <c r="V111" s="20" t="n"/>
      <c r="W111" s="20" t="n"/>
      <c r="X111" s="20" t="n"/>
      <c r="Y111" s="20" t="n"/>
      <c r="Z111" s="20" t="n"/>
      <c r="AA111" s="20" t="n"/>
      <c r="AB111" s="20" t="n"/>
      <c r="AC111" s="20" t="n"/>
      <c r="AD111" s="20" t="n"/>
      <c r="AE111" s="20" t="n"/>
      <c r="AF111" s="20" t="n"/>
      <c r="AG111" s="20" t="n"/>
      <c r="AH111" s="20" t="n"/>
      <c r="AI111" s="20" t="n"/>
    </row>
    <row r="112" outlineLevel="2">
      <c r="A112" s="20" t="inlineStr">
        <is>
          <t>8.a.xi</t>
        </is>
      </c>
      <c r="B112" s="20" t="inlineStr">
        <is>
          <t>Alat Merchant &amp; Storefront</t>
        </is>
      </c>
      <c r="C112" s="20" t="inlineStr">
        <is>
          <t>Tab</t>
        </is>
      </c>
      <c r="D112" s="21" t="inlineStr">
        <is>
          <t>Leveling Area (L1–L4)</t>
        </is>
      </c>
      <c r="E112" s="20" t="inlineStr">
        <is>
          <t>Quality Check</t>
        </is>
      </c>
      <c r="F112" s="20" t="inlineStr">
        <is>
          <t>Bagian dari Dashboard merchant (diubah 12 Sep).</t>
        </is>
      </c>
      <c r="G112" s="19" t="inlineStr">
        <is>
          <t>https://saloka.id/merchant/dashboard?tab=leveling</t>
        </is>
      </c>
      <c r="H112" s="20" t="inlineStr">
        <is>
          <t>Merchant</t>
        </is>
      </c>
      <c r="I112" s="20" t="inlineStr">
        <is>
          <t>Mengajukan kenaikan level usaha.</t>
        </is>
      </c>
      <c r="J112" s="20" t="n"/>
      <c r="K112" s="20" t="n"/>
      <c r="L112" s="20" t="n"/>
      <c r="M112" s="20" t="inlineStr">
        <is>
          <t>src/app/merchant/dashboard/page.tsx</t>
        </is>
      </c>
      <c r="N112" s="20" t="n"/>
      <c r="O112" s="20" t="n"/>
      <c r="P112" s="20" t="inlineStr">
        <is>
          <t>2026-05-30</t>
        </is>
      </c>
      <c r="Q112" s="20" t="inlineStr">
        <is>
          <t>2026-09-12</t>
        </is>
      </c>
      <c r="R112" s="20" t="n"/>
      <c r="S112" s="20" t="n"/>
      <c r="T112" s="20" t="n"/>
      <c r="U112" s="20" t="n"/>
      <c r="V112" s="20" t="n"/>
      <c r="W112" s="20" t="n"/>
      <c r="X112" s="20" t="n"/>
      <c r="Y112" s="20" t="n"/>
      <c r="Z112" s="20" t="n"/>
      <c r="AA112" s="20" t="n"/>
      <c r="AB112" s="20" t="n"/>
      <c r="AC112" s="20" t="n"/>
      <c r="AD112" s="20" t="n"/>
      <c r="AE112" s="20" t="n"/>
      <c r="AF112" s="20" t="n"/>
      <c r="AG112" s="20" t="n"/>
      <c r="AH112" s="20" t="n"/>
      <c r="AI112" s="20" t="n"/>
    </row>
    <row r="113" outlineLevel="1">
      <c r="A113" s="5" t="inlineStr">
        <is>
          <t>8.b</t>
        </is>
      </c>
      <c r="B113" s="5" t="inlineStr">
        <is>
          <t>Alat Merchant &amp; Storefront</t>
        </is>
      </c>
      <c r="C113" s="5" t="inlineStr">
        <is>
          <t>Halaman</t>
        </is>
      </c>
      <c r="D113" s="18" t="inlineStr">
        <is>
          <t>Builder landing page</t>
        </is>
      </c>
      <c r="E113" s="5" t="inlineStr">
        <is>
          <t>Quality Check</t>
        </is>
      </c>
      <c r="F113" s="5" t="inlineStr">
        <is>
          <t>Dibuat ramah mobile 1 Sep.</t>
        </is>
      </c>
      <c r="G113" s="5" t="inlineStr">
        <is>
          <t>https://saloka.id/merchant/builder/[page-id]</t>
        </is>
      </c>
      <c r="H113" s="5" t="inlineStr">
        <is>
          <t>Merchant</t>
        </is>
      </c>
      <c r="I113" s="5" t="inlineStr">
        <is>
          <t>Membangun landing page dari bagian-bagian (video, produk unggulan, jasa), copy dari AI, upload gambar.</t>
        </is>
      </c>
      <c r="J113" s="5" t="inlineStr">
        <is>
          <t>Bagian &amp; konten halaman</t>
        </is>
      </c>
      <c r="K113" s="5" t="inlineStr">
        <is>
          <t>User, Product, Service</t>
        </is>
      </c>
      <c r="L113" s="5" t="inlineStr">
        <is>
          <t>auth (simpan landing page); /api/ai/generate; /api/upload, /api/upload/presigned (S3)</t>
        </is>
      </c>
      <c r="M113" s="5" t="inlineStr">
        <is>
          <t>src/app/merchant/builder/[pageId]/page.tsx</t>
        </is>
      </c>
      <c r="N113" s="5" t="n"/>
      <c r="O113" s="5" t="n"/>
      <c r="P113" s="5" t="inlineStr">
        <is>
          <t>2026-06-09</t>
        </is>
      </c>
      <c r="Q113" s="5" t="inlineStr">
        <is>
          <t>2026-09-01</t>
        </is>
      </c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inlineStr">
        <is>
          <t>Builder landing page tidak bisa dipakai di mobile</t>
        </is>
      </c>
      <c r="AC113" s="5" t="inlineStr">
        <is>
          <t>—</t>
        </is>
      </c>
      <c r="AD113" s="5" t="inlineStr">
        <is>
          <t>Navigasi bawah untuk mobile ditambahkan (97ceda2)</t>
        </is>
      </c>
      <c r="AE113" s="5" t="inlineStr">
        <is>
          <t>2026-09-01</t>
        </is>
      </c>
      <c r="AF113" s="5" t="n"/>
      <c r="AG113" s="5" t="n"/>
      <c r="AH113" s="5" t="n"/>
      <c r="AI113" s="5" t="n"/>
    </row>
    <row r="114" outlineLevel="1">
      <c r="A114" s="5" t="inlineStr">
        <is>
          <t>8.c</t>
        </is>
      </c>
      <c r="B114" s="5" t="inlineStr">
        <is>
          <t>Alat Merchant &amp; Storefront</t>
        </is>
      </c>
      <c r="C114" s="5" t="inlineStr">
        <is>
          <t>Halaman</t>
        </is>
      </c>
      <c r="D114" s="18" t="inlineStr">
        <is>
          <t>Storefront merchant (subdomain)</t>
        </is>
      </c>
      <c r="E114" s="5" t="inlineStr">
        <is>
          <t>Selesai</t>
        </is>
      </c>
      <c r="F114" s="5" t="inlineStr">
        <is>
          <t>Stabil sejak 28 Agu.</t>
        </is>
      </c>
      <c r="G114" s="5" t="inlineStr">
        <is>
          <t>https://[subdomain].saloka.id</t>
        </is>
      </c>
      <c r="H114" s="5" t="inlineStr">
        <is>
          <t>Semua orang</t>
        </is>
      </c>
      <c r="I114" s="5" t="inlineStr">
        <is>
          <t>Situs milik merchant di subdomain sendiri (secara internal disajikan dari /merchant/[slug]).</t>
        </is>
      </c>
      <c r="J114" s="5" t="inlineStr">
        <is>
          <t>Profil merchant, landing page, produk</t>
        </is>
      </c>
      <c r="K114" s="5" t="inlineStr">
        <is>
          <t>User</t>
        </is>
      </c>
      <c r="L114" s="5" t="inlineStr">
        <is>
          <t>DataStore.findUserBySubdomain</t>
        </is>
      </c>
      <c r="M114" s="5" t="inlineStr">
        <is>
          <t>src/app/merchant/[slug]/page.tsx; src/proxy.ts; src/app/components/LandingPageRenderer.tsx</t>
        </is>
      </c>
      <c r="N114" s="5" t="n"/>
      <c r="O114" s="5" t="n"/>
      <c r="P114" s="5" t="inlineStr">
        <is>
          <t>2026-06-13</t>
        </is>
      </c>
      <c r="Q114" s="5" t="inlineStr">
        <is>
          <t>2026-08-28</t>
        </is>
      </c>
      <c r="R114" s="5" t="n"/>
      <c r="S114" s="5" t="n"/>
      <c r="T114" s="5" t="inlineStr">
        <is>
          <t>Domain rev./preprod. dianggap toko merchant (404)</t>
        </is>
      </c>
      <c r="U114" s="5" t="inlineStr">
        <is>
          <t>—</t>
        </is>
      </c>
      <c r="V114" s="5" t="inlineStr">
        <is>
          <t>Subdomain sistem dicadangkan (53b9218, 12d7255)</t>
        </is>
      </c>
      <c r="W114" s="5" t="inlineStr">
        <is>
          <t>2026-07-22</t>
        </is>
      </c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</row>
    <row r="115" outlineLevel="1">
      <c r="A115" s="5" t="inlineStr">
        <is>
          <t>8.d</t>
        </is>
      </c>
      <c r="B115" s="5" t="inlineStr">
        <is>
          <t>Alat Merchant &amp; Storefront</t>
        </is>
      </c>
      <c r="C115" s="5" t="inlineStr">
        <is>
          <t>Halaman</t>
        </is>
      </c>
      <c r="D115" s="18" t="inlineStr">
        <is>
          <t>Halaman kustom storefront</t>
        </is>
      </c>
      <c r="E115" s="5" t="inlineStr">
        <is>
          <t>Selesai</t>
        </is>
      </c>
      <c r="F115" s="5" t="inlineStr">
        <is>
          <t>Stabil sejak 28 Agu.</t>
        </is>
      </c>
      <c r="G115" s="5" t="inlineStr">
        <is>
          <t>https://[subdomain].saloka.id/[page-slug]</t>
        </is>
      </c>
      <c r="H115" s="5" t="inlineStr">
        <is>
          <t>Semua orang</t>
        </is>
      </c>
      <c r="I115" s="5" t="inlineStr">
        <is>
          <t>Halaman tambahan yang dibuat merchant dengan builder.</t>
        </is>
      </c>
      <c r="J115" s="5" t="inlineStr">
        <is>
          <t>Konten halaman</t>
        </is>
      </c>
      <c r="K115" s="5" t="inlineStr">
        <is>
          <t>User</t>
        </is>
      </c>
      <c r="L115" s="5" t="inlineStr">
        <is>
          <t>DataStore.findUserBySubdomain</t>
        </is>
      </c>
      <c r="M115" s="5" t="inlineStr">
        <is>
          <t>src/app/merchant/[slug]/[pageSlug]/page.tsx</t>
        </is>
      </c>
      <c r="N115" s="5" t="n"/>
      <c r="O115" s="5" t="n"/>
      <c r="P115" s="5" t="inlineStr">
        <is>
          <t>2026-06-09</t>
        </is>
      </c>
      <c r="Q115" s="5" t="inlineStr">
        <is>
          <t>2026-08-28</t>
        </is>
      </c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</row>
    <row r="116" outlineLevel="1">
      <c r="A116" s="5" t="inlineStr">
        <is>
          <t>8.e</t>
        </is>
      </c>
      <c r="B116" s="5" t="inlineStr">
        <is>
          <t>Alat Merchant &amp; Storefront</t>
        </is>
      </c>
      <c r="C116" s="5" t="inlineStr">
        <is>
          <t>Halaman</t>
        </is>
      </c>
      <c r="D116" s="18" t="inlineStr">
        <is>
          <t>Route alias / lama</t>
        </is>
      </c>
      <c r="E116" s="5" t="inlineStr">
        <is>
          <t>Selesai</t>
        </is>
      </c>
      <c r="F116" s="5" t="inlineStr">
        <is>
          <t>Redirect atau duplikat dari route storefront.</t>
        </is>
      </c>
      <c r="G116" s="5" t="inlineStr">
        <is>
          <t>https://saloka.id/store/[merchant-id] → /profile; /store/[merchant-id]/[page-slug]; /store/by-subdomain/[subdomain]; /setup-landing → /merchant/dashboard</t>
        </is>
      </c>
      <c r="H116" s="5" t="inlineStr">
        <is>
          <t>Semua orang</t>
        </is>
      </c>
      <c r="I116" s="5" t="inlineStr">
        <is>
          <t>URL lama tetap berfungsi.</t>
        </is>
      </c>
      <c r="J116" s="5" t="n"/>
      <c r="K116" s="5" t="n"/>
      <c r="L116" s="5" t="n"/>
      <c r="M116" s="5" t="inlineStr">
        <is>
          <t>src/app/store/[merchantId]/page.tsx</t>
        </is>
      </c>
      <c r="N116" s="5" t="n"/>
      <c r="O116" s="5" t="inlineStr">
        <is>
          <t>Duplikat route storefront — kandidat untuk dihapus.</t>
        </is>
      </c>
      <c r="P116" s="5" t="inlineStr">
        <is>
          <t>2026-06-09</t>
        </is>
      </c>
      <c r="Q116" s="5" t="inlineStr">
        <is>
          <t>2026-06-09</t>
        </is>
      </c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</row>
    <row r="117" outlineLevel="1">
      <c r="A117" s="5" t="inlineStr">
        <is>
          <t>8.f</t>
        </is>
      </c>
      <c r="B117" s="5" t="inlineStr">
        <is>
          <t>Alat Merchant &amp; Storefront</t>
        </is>
      </c>
      <c r="C117" s="5" t="inlineStr">
        <is>
          <t>Halaman Admin</t>
        </is>
      </c>
      <c r="D117" s="18" t="inlineStr">
        <is>
          <t>Admin · Merchant</t>
        </is>
      </c>
      <c r="E117" s="5" t="inlineStr">
        <is>
          <t>Quality Check</t>
        </is>
      </c>
      <c r="F117" s="5" t="inlineStr">
        <is>
          <t>CMS direstrukturisasi 5 Sep.</t>
        </is>
      </c>
      <c r="G117" s="19" t="inlineStr">
        <is>
          <t>https://saloka.id/cms_admin/merchants/verifikasi</t>
        </is>
      </c>
      <c r="H117" s="5" t="inlineStr">
        <is>
          <t>Admin dengan izin “merchants”</t>
        </is>
      </c>
      <c r="I117" s="5" t="inlineStr">
        <is>
          <t>Menyetujui merchant baru (Verifikasi Baru) dan kenaikan level (Kenaikan Level).</t>
        </is>
      </c>
      <c r="J117" s="5" t="inlineStr">
        <is>
          <t>Akun merchant, pengajuan level</t>
        </is>
      </c>
      <c r="K117" s="5" t="inlineStr">
        <is>
          <t>User, MerchantLevelRequest</t>
        </is>
      </c>
      <c r="L117" s="5" t="inlineStr">
        <is>
          <t>admin.getLevelRequestsAction, approveLevelRequestAction, rejectLevelRequestAction</t>
        </is>
      </c>
      <c r="M117" s="5" t="inlineStr">
        <is>
          <t>src/app/cms_admin/components/MerchantVerificationTab.tsx; src/app/cms_admin/components/MerchantLevelTab.tsx</t>
        </is>
      </c>
      <c r="N117" s="5" t="n"/>
      <c r="O117" s="5" t="n"/>
      <c r="P117" s="5" t="inlineStr">
        <is>
          <t>2026-09-05</t>
        </is>
      </c>
      <c r="Q117" s="5" t="inlineStr">
        <is>
          <t>2026-09-05</t>
        </is>
      </c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</row>
    <row r="118">
      <c r="A118" s="17" t="inlineStr">
        <is>
          <t>9</t>
        </is>
      </c>
      <c r="B118" s="17" t="inlineStr">
        <is>
          <t>Affiliate</t>
        </is>
      </c>
      <c r="C118" s="17" t="inlineStr">
        <is>
          <t>Fitur</t>
        </is>
      </c>
      <c r="D118" s="17" t="inlineStr">
        <is>
          <t>Affiliate</t>
        </is>
      </c>
      <c r="E118" s="17" t="inlineStr">
        <is>
          <t>Quality Check</t>
        </is>
      </c>
      <c r="F118" s="17" t="inlineStr">
        <is>
          <t>Portal berjalan; beberapa sistem referral masih terpisah; ada tombol data demo di CMS.</t>
        </is>
      </c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</row>
    <row r="119" outlineLevel="1">
      <c r="A119" s="5" t="inlineStr">
        <is>
          <t>9.a</t>
        </is>
      </c>
      <c r="B119" s="5" t="inlineStr">
        <is>
          <t>Affiliate</t>
        </is>
      </c>
      <c r="C119" s="5" t="inlineStr">
        <is>
          <t>Halaman</t>
        </is>
      </c>
      <c r="D119" s="18" t="inlineStr">
        <is>
          <t>Portal affiliate</t>
        </is>
      </c>
      <c r="E119" s="5" t="inlineStr">
        <is>
          <t>Quality Check</t>
        </is>
      </c>
      <c r="F119" s="5" t="inlineStr">
        <is>
          <t>Diubah 6 Sep.</t>
        </is>
      </c>
      <c r="G119" s="19" t="inlineStr">
        <is>
          <t>https://saloka.id/affiliate?tab=dashboard</t>
        </is>
      </c>
      <c r="H119" s="5" t="inlineStr">
        <is>
          <t>Akun affiliate</t>
        </is>
      </c>
      <c r="I119" s="5" t="inlineStr">
        <is>
          <t>Tab: Dashboard (pendapatan + simulator komisi), Cari Barang Affiliate, Link Kustom, Downline Jaringan, Leaderboard, Pusat Upgrade, LMS Academy.</t>
        </is>
      </c>
      <c r="J119" s="5" t="inlineStr">
        <is>
          <t>Link, klik, downline, komisi, leaderboard</t>
        </is>
      </c>
      <c r="K119" s="5" t="inlineStr">
        <is>
          <t>AffiliateReferral, User, Wallet, WalletTransaction, Product, Course, Progress</t>
        </is>
      </c>
      <c r="L119" s="5" t="inlineStr">
        <is>
          <t>affiliate-extra.createCustomAffiliateLink, getCustomAffiliateLinks, upgradeMembershipAccess, getAffiliateLeaderboard, getAffiliateDownline; wallet-affiliate.getAffiliateStats; lms.*</t>
        </is>
      </c>
      <c r="M119" s="5" t="inlineStr">
        <is>
          <t>src/app/affiliate/page.tsx</t>
        </is>
      </c>
      <c r="N119" s="5" t="n"/>
      <c r="O119" s="5" t="inlineStr">
        <is>
          <t>Sekitar 5 sistem referral/komisi terpisah belum disatukan (Phase 6).</t>
        </is>
      </c>
      <c r="P119" s="5" t="inlineStr">
        <is>
          <t>2026-05-30</t>
        </is>
      </c>
      <c r="Q119" s="5" t="inlineStr">
        <is>
          <t>2026-09-06</t>
        </is>
      </c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</row>
    <row r="120" outlineLevel="1">
      <c r="A120" s="5" t="inlineStr">
        <is>
          <t>9.b</t>
        </is>
      </c>
      <c r="B120" s="5" t="inlineStr">
        <is>
          <t>Affiliate</t>
        </is>
      </c>
      <c r="C120" s="5" t="inlineStr">
        <is>
          <t>Halaman Admin</t>
        </is>
      </c>
      <c r="D120" s="18" t="inlineStr">
        <is>
          <t>Admin · Monitor Affiliate</t>
        </is>
      </c>
      <c r="E120" s="5" t="inlineStr">
        <is>
          <t>Quality Check</t>
        </is>
      </c>
      <c r="F120" s="5" t="inlineStr">
        <is>
          <t>Data asli, ditambah generator data demo.</t>
        </is>
      </c>
      <c r="G120" s="19" t="inlineStr">
        <is>
          <t>https://saloka.id/cms_admin/affiliates</t>
        </is>
      </c>
      <c r="H120" s="5" t="inlineStr">
        <is>
          <t>Admin dengan izin “affiliates”</t>
        </is>
      </c>
      <c r="I120" s="5" t="inlineStr">
        <is>
          <t>Memantau jaringan affiliate dan komisi multi-tier.</t>
        </is>
      </c>
      <c r="J120" s="5" t="inlineStr">
        <is>
          <t>Affiliate &amp; referral</t>
        </is>
      </c>
      <c r="K120" s="5" t="inlineStr">
        <is>
          <t>User, AffiliateReferral</t>
        </is>
      </c>
      <c r="L120" s="5" t="inlineStr">
        <is>
          <t>admin.generateDummyAffiliatesAction</t>
        </is>
      </c>
      <c r="M120" s="5" t="inlineStr">
        <is>
          <t>src/app/cms_admin/components/AffiliatesTab.tsx</t>
        </is>
      </c>
      <c r="N120" s="5" t="n"/>
      <c r="O120" s="5" t="inlineStr">
        <is>
          <t>Tombol “buat 10 akun dummy” membuat pengguna palsu — sembunyikan sebelum peluncuran.</t>
        </is>
      </c>
      <c r="P120" s="5" t="inlineStr">
        <is>
          <t>2026-09-05</t>
        </is>
      </c>
      <c r="Q120" s="5" t="inlineStr">
        <is>
          <t>2026-09-05</t>
        </is>
      </c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</row>
    <row r="121">
      <c r="A121" s="17" t="inlineStr">
        <is>
          <t>10</t>
        </is>
      </c>
      <c r="B121" s="17" t="inlineStr">
        <is>
          <t>Academy (LMS)</t>
        </is>
      </c>
      <c r="C121" s="17" t="inlineStr">
        <is>
          <t>Fitur</t>
        </is>
      </c>
      <c r="D121" s="17" t="inlineStr">
        <is>
          <t>Academy (LMS)</t>
        </is>
      </c>
      <c r="E121" s="17" t="inlineStr">
        <is>
          <t>Quality Check</t>
        </is>
      </c>
      <c r="F121" s="17" t="inlineStr">
        <is>
          <t>Sertifikat &amp; CMS kursus dirilis 6 Sep; pekerjaan navigasi/caching Minggu D belum dimulai.</t>
        </is>
      </c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</row>
    <row r="122" outlineLevel="1">
      <c r="A122" s="5" t="inlineStr">
        <is>
          <t>10.a</t>
        </is>
      </c>
      <c r="B122" s="5" t="inlineStr">
        <is>
          <t>Academy (LMS)</t>
        </is>
      </c>
      <c r="C122" s="5" t="inlineStr">
        <is>
          <t>Halaman</t>
        </is>
      </c>
      <c r="D122" s="18" t="inlineStr">
        <is>
          <t>Katalog Academy</t>
        </is>
      </c>
      <c r="E122" s="5" t="inlineStr">
        <is>
          <t>Quality Check</t>
        </is>
      </c>
      <c r="F122" s="5" t="inlineStr">
        <is>
          <t>Diubah 6 Sep.</t>
        </is>
      </c>
      <c r="G122" s="19" t="inlineStr">
        <is>
          <t>https://saloka.id/academy</t>
        </is>
      </c>
      <c r="H122" s="5" t="inlineStr">
        <is>
          <t>Semua orang</t>
        </is>
      </c>
      <c r="I122" s="5" t="inlineStr">
        <is>
          <t>Katalog kursus.</t>
        </is>
      </c>
      <c r="J122" s="5" t="inlineStr">
        <is>
          <t>Kursus</t>
        </is>
      </c>
      <c r="K122" s="5" t="inlineStr">
        <is>
          <t>Course</t>
        </is>
      </c>
      <c r="L122" s="5" t="inlineStr">
        <is>
          <t>lms.getCourses</t>
        </is>
      </c>
      <c r="M122" s="5" t="inlineStr">
        <is>
          <t>src/app/academy/page.tsx</t>
        </is>
      </c>
      <c r="N122" s="5" t="inlineStr">
        <is>
          <t>Minggu D (21–27 Sep)</t>
        </is>
      </c>
      <c r="O122" s="5" t="n"/>
      <c r="P122" s="5" t="inlineStr">
        <is>
          <t>2026-05-30</t>
        </is>
      </c>
      <c r="Q122" s="5" t="inlineStr">
        <is>
          <t>2026-09-06</t>
        </is>
      </c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</row>
    <row r="123" outlineLevel="1">
      <c r="A123" s="5" t="inlineStr">
        <is>
          <t>10.b</t>
        </is>
      </c>
      <c r="B123" s="5" t="inlineStr">
        <is>
          <t>Academy (LMS)</t>
        </is>
      </c>
      <c r="C123" s="5" t="inlineStr">
        <is>
          <t>Halaman</t>
        </is>
      </c>
      <c r="D123" s="18" t="inlineStr">
        <is>
          <t>Pemutar kursus</t>
        </is>
      </c>
      <c r="E123" s="5" t="inlineStr">
        <is>
          <t>Quality Check</t>
        </is>
      </c>
      <c r="F123" s="5" t="inlineStr">
        <is>
          <t>Aturan video &amp; sertifikat ditambahkan 6 Sep.</t>
        </is>
      </c>
      <c r="G123" s="5" t="inlineStr">
        <is>
          <t>https://saloka.id/academy/course/[course-id]</t>
        </is>
      </c>
      <c r="H123" s="5" t="inlineStr">
        <is>
          <t>Pengguna yang sudah login (kursus berbayar perlu dibeli)</t>
        </is>
      </c>
      <c r="I123" s="5" t="inlineStr">
        <is>
          <t>Pemutar materi YouTube, aturan progres menonton, beli kursus dengan wallet, sertifikat setelah selesai.</t>
        </is>
      </c>
      <c r="J123" s="5" t="inlineStr">
        <is>
          <t>Materi, progres menonton, pembelian, sertifikat</t>
        </is>
      </c>
      <c r="K123" s="5" t="inlineStr">
        <is>
          <t>Course, Lesson, Progress, Certificate, Wallet, WalletTransaction</t>
        </is>
      </c>
      <c r="L123" s="5" t="inlineStr">
        <is>
          <t>lms.getCourseById, getUserProgress, saveWatchProgress, purchaseCourseAction, getUserCertificates</t>
        </is>
      </c>
      <c r="M123" s="5" t="inlineStr">
        <is>
          <t>src/app/academy/course/[id]/page.tsx; src/app/academy/course/[id]/LessonViewer.tsx; src/lib/lms-rules.ts</t>
        </is>
      </c>
      <c r="N123" s="5" t="inlineStr">
        <is>
          <t>Minggu D</t>
        </is>
      </c>
      <c r="O123" s="5" t="inlineStr">
        <is>
          <t>UX navigasi kursus dan caching halaman masih ada di roadmap.</t>
        </is>
      </c>
      <c r="P123" s="5" t="inlineStr">
        <is>
          <t>2026-05-30</t>
        </is>
      </c>
      <c r="Q123" s="5" t="inlineStr">
        <is>
          <t>2026-09-06</t>
        </is>
      </c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</row>
    <row r="124" outlineLevel="1">
      <c r="A124" s="5" t="inlineStr">
        <is>
          <t>10.c</t>
        </is>
      </c>
      <c r="B124" s="5" t="inlineStr">
        <is>
          <t>Academy (LMS)</t>
        </is>
      </c>
      <c r="C124" s="5" t="inlineStr">
        <is>
          <t>Halaman</t>
        </is>
      </c>
      <c r="D124" s="18" t="inlineStr">
        <is>
          <t>Verifikasi sertifikat</t>
        </is>
      </c>
      <c r="E124" s="5" t="inlineStr">
        <is>
          <t>Quality Check</t>
        </is>
      </c>
      <c r="F124" s="5" t="inlineStr">
        <is>
          <t>Dibuat 6 Sep.</t>
        </is>
      </c>
      <c r="G124" s="5" t="inlineStr">
        <is>
          <t>https://saloka.id/certificate/[serial]</t>
        </is>
      </c>
      <c r="H124" s="5" t="inlineStr">
        <is>
          <t>Semua orang</t>
        </is>
      </c>
      <c r="I124" s="5" t="inlineStr">
        <is>
          <t>Memverifikasi dan mencetak sertifikat kursus.</t>
        </is>
      </c>
      <c r="J124" s="5" t="inlineStr">
        <is>
          <t>Sertifikat &amp; template</t>
        </is>
      </c>
      <c r="K124" s="5" t="inlineStr">
        <is>
          <t>Certificate, CertificateTemplate</t>
        </is>
      </c>
      <c r="L124" s="5" t="inlineStr">
        <is>
          <t>DataStore.findCertificateBySerial, getDefaultCertificateTemplate</t>
        </is>
      </c>
      <c r="M124" s="5" t="inlineStr">
        <is>
          <t>src/app/certificate/[serial]/page.tsx</t>
        </is>
      </c>
      <c r="N124" s="5" t="inlineStr">
        <is>
          <t>Minggu D</t>
        </is>
      </c>
      <c r="O124" s="5" t="n"/>
      <c r="P124" s="5" t="inlineStr">
        <is>
          <t>2026-09-06</t>
        </is>
      </c>
      <c r="Q124" s="5" t="inlineStr">
        <is>
          <t>2026-09-06</t>
        </is>
      </c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</row>
    <row r="125" outlineLevel="1">
      <c r="A125" s="5" t="inlineStr">
        <is>
          <t>10.d</t>
        </is>
      </c>
      <c r="B125" s="5" t="inlineStr">
        <is>
          <t>Academy (LMS)</t>
        </is>
      </c>
      <c r="C125" s="5" t="inlineStr">
        <is>
          <t>Halaman Admin</t>
        </is>
      </c>
      <c r="D125" s="18" t="inlineStr">
        <is>
          <t>Admin · LMS / Akademi</t>
        </is>
      </c>
      <c r="E125" s="5" t="inlineStr">
        <is>
          <t>Quality Check</t>
        </is>
      </c>
      <c r="F125" s="5" t="inlineStr">
        <is>
          <t>Dibuat 6 Sep.</t>
        </is>
      </c>
      <c r="G125" s="19" t="inlineStr">
        <is>
          <t>https://saloka.id/cms_admin/academy/kursus</t>
        </is>
      </c>
      <c r="H125" s="5" t="inlineStr">
        <is>
          <t>Admin dengan izin “academy”</t>
        </is>
      </c>
      <c r="I125" s="5" t="inlineStr">
        <is>
          <t>Kelola kursus, materi, dan template sertifikat.</t>
        </is>
      </c>
      <c r="J125" s="5" t="inlineStr">
        <is>
          <t>Kursus, materi, template, progres</t>
        </is>
      </c>
      <c r="K125" s="5" t="inlineStr">
        <is>
          <t>Course, Lesson, CertificateTemplate, Progress</t>
        </is>
      </c>
      <c r="L125" s="5" t="n"/>
      <c r="M125" s="5" t="inlineStr">
        <is>
          <t>src/app/cms_admin/components/AcademyTab.tsx</t>
        </is>
      </c>
      <c r="N125" s="5" t="inlineStr">
        <is>
          <t>Minggu D</t>
        </is>
      </c>
      <c r="O125" s="5" t="n"/>
      <c r="P125" s="5" t="inlineStr">
        <is>
          <t>2026-09-05</t>
        </is>
      </c>
      <c r="Q125" s="5" t="inlineStr">
        <is>
          <t>2026-09-06</t>
        </is>
      </c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</row>
    <row r="126" outlineLevel="2">
      <c r="A126" s="20" t="inlineStr">
        <is>
          <t>10.d.i</t>
        </is>
      </c>
      <c r="B126" s="20" t="inlineStr">
        <is>
          <t>Academy (LMS)</t>
        </is>
      </c>
      <c r="C126" s="20" t="inlineStr">
        <is>
          <t>Tab Admin</t>
        </is>
      </c>
      <c r="D126" s="21" t="inlineStr">
        <is>
          <t>Kursus</t>
        </is>
      </c>
      <c r="E126" s="20" t="inlineStr">
        <is>
          <t>Quality Check</t>
        </is>
      </c>
      <c r="F126" s="20" t="inlineStr">
        <is>
          <t>Dibuat 6 Sep.</t>
        </is>
      </c>
      <c r="G126" s="19" t="inlineStr">
        <is>
          <t>https://saloka.id/cms_admin/academy/kursus</t>
        </is>
      </c>
      <c r="H126" s="20" t="n"/>
      <c r="I126" s="20" t="inlineStr">
        <is>
          <t>Buat/edit/publikasikan kursus, modul, dan materi (cek durasi YouTube).</t>
        </is>
      </c>
      <c r="J126" s="20" t="n"/>
      <c r="K126" s="20" t="n"/>
      <c r="L126" s="20" t="inlineStr">
        <is>
          <t>admin.addCourseAction, updateCourseAction, setCoursePublishedAction, addLessonAction, fetchYouTubeDurationAction</t>
        </is>
      </c>
      <c r="M126" s="20" t="n"/>
      <c r="N126" s="20" t="n"/>
      <c r="O126" s="20" t="n"/>
      <c r="P126" s="20" t="n"/>
      <c r="Q126" s="20" t="n"/>
      <c r="R126" s="20" t="n"/>
      <c r="S126" s="20" t="n"/>
      <c r="T126" s="20" t="inlineStr">
        <is>
          <t>Upload file materi crash (batas 4,5 MB Vercel)</t>
        </is>
      </c>
      <c r="U126" s="20" t="inlineStr">
        <is>
          <t>—</t>
        </is>
      </c>
      <c r="V126" s="20" t="inlineStr">
        <is>
          <t>Input URL video, batas 3,5 MB, upload langsung ke S3 (4341efb, c6d147d)</t>
        </is>
      </c>
      <c r="W126" s="20" t="inlineStr">
        <is>
          <t>2026-08-12</t>
        </is>
      </c>
      <c r="X126" s="20" t="n"/>
      <c r="Y126" s="20" t="n"/>
      <c r="Z126" s="20" t="n"/>
      <c r="AA126" s="20" t="n"/>
      <c r="AB126" s="20" t="n"/>
      <c r="AC126" s="20" t="n"/>
      <c r="AD126" s="20" t="n"/>
      <c r="AE126" s="20" t="n"/>
      <c r="AF126" s="20" t="n"/>
      <c r="AG126" s="20" t="n"/>
      <c r="AH126" s="20" t="n"/>
      <c r="AI126" s="20" t="n"/>
    </row>
    <row r="127" outlineLevel="2">
      <c r="A127" s="20" t="inlineStr">
        <is>
          <t>10.d.ii</t>
        </is>
      </c>
      <c r="B127" s="20" t="inlineStr">
        <is>
          <t>Academy (LMS)</t>
        </is>
      </c>
      <c r="C127" s="20" t="inlineStr">
        <is>
          <t>Tab Admin</t>
        </is>
      </c>
      <c r="D127" s="21" t="inlineStr">
        <is>
          <t>Sertifikat</t>
        </is>
      </c>
      <c r="E127" s="20" t="inlineStr">
        <is>
          <t>Quality Check</t>
        </is>
      </c>
      <c r="F127" s="20" t="inlineStr">
        <is>
          <t>Dibuat 6 Sep.</t>
        </is>
      </c>
      <c r="G127" s="19" t="inlineStr">
        <is>
          <t>https://saloka.id/cms_admin/academy/sertifikat</t>
        </is>
      </c>
      <c r="H127" s="20" t="n"/>
      <c r="I127" s="20" t="inlineStr">
        <is>
          <t>Template sertifikat.</t>
        </is>
      </c>
      <c r="J127" s="20" t="n"/>
      <c r="K127" s="20" t="n"/>
      <c r="L127" s="20" t="inlineStr">
        <is>
          <t>admin.add/update/deleteCertificateTemplateAction</t>
        </is>
      </c>
      <c r="M127" s="20" t="inlineStr">
        <is>
          <t>src/app/cms_admin/components/SertifikatTab.tsx</t>
        </is>
      </c>
      <c r="N127" s="20" t="n"/>
      <c r="O127" s="20" t="n"/>
      <c r="P127" s="20" t="inlineStr">
        <is>
          <t>2026-09-06</t>
        </is>
      </c>
      <c r="Q127" s="20" t="inlineStr">
        <is>
          <t>2026-09-06</t>
        </is>
      </c>
      <c r="R127" s="20" t="n"/>
      <c r="S127" s="20" t="n"/>
      <c r="T127" s="20" t="n"/>
      <c r="U127" s="20" t="n"/>
      <c r="V127" s="20" t="n"/>
      <c r="W127" s="20" t="n"/>
      <c r="X127" s="20" t="n"/>
      <c r="Y127" s="20" t="n"/>
      <c r="Z127" s="20" t="n"/>
      <c r="AA127" s="20" t="n"/>
      <c r="AB127" s="20" t="n"/>
      <c r="AC127" s="20" t="n"/>
      <c r="AD127" s="20" t="n"/>
      <c r="AE127" s="20" t="n"/>
      <c r="AF127" s="20" t="n"/>
      <c r="AG127" s="20" t="n"/>
      <c r="AH127" s="20" t="n"/>
      <c r="AI127" s="20" t="n"/>
    </row>
    <row r="128">
      <c r="A128" s="17" t="inlineStr">
        <is>
          <t>11</t>
        </is>
      </c>
      <c r="B128" s="17" t="inlineStr">
        <is>
          <t>Chat &amp; Layanan Pelanggan (CS)</t>
        </is>
      </c>
      <c r="C128" s="17" t="inlineStr">
        <is>
          <t>Fitur</t>
        </is>
      </c>
      <c r="D128" s="17" t="inlineStr">
        <is>
          <t>Chat &amp; Layanan Pelanggan (CS)</t>
        </is>
      </c>
      <c r="E128" s="17" t="inlineStr">
        <is>
          <t>Quality Check</t>
        </is>
      </c>
      <c r="F128" s="17" t="inlineStr">
        <is>
          <t>Chat stabil; meja bantuan CS dipindahkan ke CMS 5 Sep.</t>
        </is>
      </c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</row>
    <row r="129" outlineLevel="1">
      <c r="A129" s="5" t="inlineStr">
        <is>
          <t>11.a</t>
        </is>
      </c>
      <c r="B129" s="5" t="inlineStr">
        <is>
          <t>Chat &amp; Layanan Pelanggan (CS)</t>
        </is>
      </c>
      <c r="C129" s="5" t="inlineStr">
        <is>
          <t>Halaman</t>
        </is>
      </c>
      <c r="D129" s="18" t="inlineStr">
        <is>
          <t>Chat</t>
        </is>
      </c>
      <c r="E129" s="5" t="inlineStr">
        <is>
          <t>Selesai</t>
        </is>
      </c>
      <c r="F129" s="5" t="inlineStr">
        <is>
          <t>Stabil sejak 29 Agu.</t>
        </is>
      </c>
      <c r="G129" s="19" t="inlineStr">
        <is>
          <t>https://saloka.id/chat</t>
        </is>
      </c>
      <c r="H129" s="5" t="inlineStr">
        <is>
          <t>Pengguna yang sudah login</t>
        </is>
      </c>
      <c r="I129" s="5" t="inlineStr">
        <is>
          <t>Chat pembeli–penjual dengan upload gambar; diperbarui dengan polling.</t>
        </is>
      </c>
      <c r="J129" s="5" t="inlineStr">
        <is>
          <t>Ruang chat &amp; pesan</t>
        </is>
      </c>
      <c r="K129" s="5" t="inlineStr">
        <is>
          <t>ChatRoom, ChatMessage</t>
        </is>
      </c>
      <c r="L129" s="5" t="inlineStr">
        <is>
          <t>chat.startChatWithSeller, getChatHistory, sendChat, getMyConversations, markChatAsReadAction; /api/upload</t>
        </is>
      </c>
      <c r="M129" s="5" t="inlineStr">
        <is>
          <t>src/app/chat/page.tsx</t>
        </is>
      </c>
      <c r="N129" s="5" t="n"/>
      <c r="O129" s="5" t="n"/>
      <c r="P129" s="5" t="inlineStr">
        <is>
          <t>2026-06-27</t>
        </is>
      </c>
      <c r="Q129" s="5" t="inlineStr">
        <is>
          <t>2026-08-29</t>
        </is>
      </c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</row>
    <row r="130" outlineLevel="1">
      <c r="A130" s="5" t="inlineStr">
        <is>
          <t>11.b</t>
        </is>
      </c>
      <c r="B130" s="5" t="inlineStr">
        <is>
          <t>Chat &amp; Layanan Pelanggan (CS)</t>
        </is>
      </c>
      <c r="C130" s="5" t="inlineStr">
        <is>
          <t>Komponen</t>
        </is>
      </c>
      <c r="D130" s="18" t="inlineStr">
        <is>
          <t>Chat bantuan mengambang</t>
        </is>
      </c>
      <c r="E130" s="5" t="inlineStr">
        <is>
          <t>Selesai</t>
        </is>
      </c>
      <c r="F130" s="5" t="inlineStr">
        <is>
          <t>Tidak ditemukan masalah terbuka.</t>
        </is>
      </c>
      <c r="G130" s="5" t="inlineStr">
        <is>
          <t>Tombol mengambang di halaman situs</t>
        </is>
      </c>
      <c r="H130" s="5" t="inlineStr">
        <is>
          <t>Semua orang</t>
        </is>
      </c>
      <c r="I130" s="5" t="inlineStr">
        <is>
          <t>Pengguna bisa membuka tiket bantuan.</t>
        </is>
      </c>
      <c r="J130" s="5" t="inlineStr">
        <is>
          <t>Tiket bantuan</t>
        </is>
      </c>
      <c r="K130" s="5" t="inlineStr">
        <is>
          <t>SupportTicket, SupportMessage</t>
        </is>
      </c>
      <c r="L130" s="5" t="inlineStr">
        <is>
          <t>cs.createTicketAction</t>
        </is>
      </c>
      <c r="M130" s="5" t="inlineStr">
        <is>
          <t>src/components/FloatingChat.tsx</t>
        </is>
      </c>
      <c r="N130" s="5" t="n"/>
      <c r="O130" s="5" t="n"/>
      <c r="P130" s="5" t="inlineStr">
        <is>
          <t>2026-05-30</t>
        </is>
      </c>
      <c r="Q130" s="5" t="inlineStr">
        <is>
          <t>2026-08-29</t>
        </is>
      </c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</row>
    <row r="131" outlineLevel="1">
      <c r="A131" s="5" t="inlineStr">
        <is>
          <t>11.c</t>
        </is>
      </c>
      <c r="B131" s="5" t="inlineStr">
        <is>
          <t>Chat &amp; Layanan Pelanggan (CS)</t>
        </is>
      </c>
      <c r="C131" s="5" t="inlineStr">
        <is>
          <t>Halaman</t>
        </is>
      </c>
      <c r="D131" s="18" t="inlineStr">
        <is>
          <t>Meja bantuan CS</t>
        </is>
      </c>
      <c r="E131" s="5" t="inlineStr">
        <is>
          <t>Quality Check</t>
        </is>
      </c>
      <c r="F131" s="5" t="inlineStr">
        <is>
          <t>Diubah 5 Sep.</t>
        </is>
      </c>
      <c r="G131" s="19" t="inlineStr">
        <is>
          <t>https://saloka.id/cs</t>
        </is>
      </c>
      <c r="H131" s="5" t="inlineStr">
        <is>
          <t>Staf customer service &amp; admin</t>
        </is>
      </c>
      <c r="I131" s="5" t="inlineStr">
        <is>
          <t>Antrian tiket, penugasan, balas, eskalasi, selesaikan, analitik CS.</t>
        </is>
      </c>
      <c r="J131" s="5" t="inlineStr">
        <is>
          <t>Tiket &amp; pesan</t>
        </is>
      </c>
      <c r="K131" s="5" t="inlineStr">
        <is>
          <t>SupportTicket, SupportMessage, User</t>
        </is>
      </c>
      <c r="L131" s="5" t="inlineStr">
        <is>
          <t>cs.*; /api/cs/ticket-status</t>
        </is>
      </c>
      <c r="M131" s="5" t="inlineStr">
        <is>
          <t>src/app/cs/CsDashboardClient.tsx</t>
        </is>
      </c>
      <c r="N131" s="5" t="n"/>
      <c r="O131" s="5" t="n"/>
      <c r="P131" s="5" t="inlineStr">
        <is>
          <t>2026-05-30</t>
        </is>
      </c>
      <c r="Q131" s="5" t="inlineStr">
        <is>
          <t>2026-09-05</t>
        </is>
      </c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</row>
    <row r="132" outlineLevel="1">
      <c r="A132" s="5" t="inlineStr">
        <is>
          <t>11.d</t>
        </is>
      </c>
      <c r="B132" s="5" t="inlineStr">
        <is>
          <t>Chat &amp; Layanan Pelanggan (CS)</t>
        </is>
      </c>
      <c r="C132" s="5" t="inlineStr">
        <is>
          <t>Halaman Admin</t>
        </is>
      </c>
      <c r="D132" s="18" t="inlineStr">
        <is>
          <t>Admin · Tiket CS</t>
        </is>
      </c>
      <c r="E132" s="5" t="inlineStr">
        <is>
          <t>Quality Check</t>
        </is>
      </c>
      <c r="F132" s="5" t="inlineStr">
        <is>
          <t>Menyematkan meja bantuan CS (5 Sep).</t>
        </is>
      </c>
      <c r="G132" s="19" t="inlineStr">
        <is>
          <t>https://saloka.id/cms_admin/support</t>
        </is>
      </c>
      <c r="H132" s="5" t="inlineStr">
        <is>
          <t>Admin dengan izin “support”</t>
        </is>
      </c>
      <c r="I132" s="5" t="inlineStr">
        <is>
          <t>Meja bantuan CS di dalam CMS admin.</t>
        </is>
      </c>
      <c r="J132" s="5" t="n"/>
      <c r="K132" s="5" t="n"/>
      <c r="L132" s="5" t="n"/>
      <c r="M132" s="5" t="inlineStr">
        <is>
          <t>src/app/cms_admin/[menu]/[[...tab]]/page.tsx</t>
        </is>
      </c>
      <c r="N132" s="5" t="n"/>
      <c r="O132" s="5" t="n"/>
      <c r="P132" s="5" t="inlineStr">
        <is>
          <t>2026-09-05</t>
        </is>
      </c>
      <c r="Q132" s="5" t="inlineStr">
        <is>
          <t>2026-09-13</t>
        </is>
      </c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</row>
    <row r="133">
      <c r="A133" s="17" t="inlineStr">
        <is>
          <t>12</t>
        </is>
      </c>
      <c r="B133" s="17" t="inlineStr">
        <is>
          <t>Admin CMS (Platform)</t>
        </is>
      </c>
      <c r="C133" s="17" t="inlineStr">
        <is>
          <t>Fitur</t>
        </is>
      </c>
      <c r="D133" s="17" t="inlineStr">
        <is>
          <t>Admin CMS (Platform)</t>
        </is>
      </c>
      <c r="E133" s="17" t="inlineStr">
        <is>
          <t>Quality Check</t>
        </is>
      </c>
      <c r="F133" s="17" t="inlineStr">
        <is>
          <t>Direstrukturisasi 5 Sep (standar URL, RBAC, navigasi lebih cepat).</t>
        </is>
      </c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</row>
    <row r="134" outlineLevel="1">
      <c r="A134" s="5" t="inlineStr">
        <is>
          <t>12.a</t>
        </is>
      </c>
      <c r="B134" s="5" t="inlineStr">
        <is>
          <t>Admin CMS (Platform)</t>
        </is>
      </c>
      <c r="C134" s="5" t="inlineStr">
        <is>
          <t>Halaman Admin</t>
        </is>
      </c>
      <c r="D134" s="18" t="inlineStr">
        <is>
          <t>Shell admin &amp; kontrol akses</t>
        </is>
      </c>
      <c r="E134" s="5" t="inlineStr">
        <is>
          <t>Quality Check</t>
        </is>
      </c>
      <c r="F134" s="5" t="inlineStr">
        <is>
          <t>Direstrukturisasi 5 Sep.</t>
        </is>
      </c>
      <c r="G134" s="19" t="inlineStr">
        <is>
          <t>https://saloka.id/cms_admin</t>
        </is>
      </c>
      <c r="H134" s="5" t="inlineStr">
        <is>
          <t>Admin (izin per menu); Super Admin melihat semuanya</t>
        </is>
      </c>
      <c r="I134" s="5" t="inlineStr">
        <is>
          <t>Sidebar dengan 7 kategori, izin per menu (RBAC), ekspor CSV; /cms_admin dialihkan ke Overview.</t>
        </is>
      </c>
      <c r="J134" s="5" t="n"/>
      <c r="K134" s="5" t="inlineStr">
        <is>
          <t>User</t>
        </is>
      </c>
      <c r="L134" s="5" t="n"/>
      <c r="M134" s="5" t="inlineStr">
        <is>
          <t>src/app/cms_admin/nav.config.ts; src/app/cms_admin/rbac.ts; src/app/cms_admin/components/AdminShell.tsx</t>
        </is>
      </c>
      <c r="N134" s="5" t="n"/>
      <c r="O134" s="5" t="n"/>
      <c r="P134" s="5" t="inlineStr">
        <is>
          <t>2026-09-05</t>
        </is>
      </c>
      <c r="Q134" s="5" t="inlineStr">
        <is>
          <t>2026-09-13</t>
        </is>
      </c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inlineStr">
        <is>
          <t>Setiap klik menu admin lambat (query berulang per komunitas)</t>
        </is>
      </c>
      <c r="AC134" s="5" t="inlineStr">
        <is>
          <t>—</t>
        </is>
      </c>
      <c r="AD134" s="5" t="inlineStr">
        <is>
          <t>Query berulang dihapus (c0ef727)</t>
        </is>
      </c>
      <c r="AE134" s="5" t="inlineStr">
        <is>
          <t>2026-09-05</t>
        </is>
      </c>
      <c r="AF134" s="5" t="n"/>
      <c r="AG134" s="5" t="n"/>
      <c r="AH134" s="5" t="n"/>
      <c r="AI134" s="5" t="n"/>
    </row>
    <row r="135" outlineLevel="1">
      <c r="A135" s="5" t="inlineStr">
        <is>
          <t>12.b</t>
        </is>
      </c>
      <c r="B135" s="5" t="inlineStr">
        <is>
          <t>Admin CMS (Platform)</t>
        </is>
      </c>
      <c r="C135" s="5" t="inlineStr">
        <is>
          <t>Halaman Admin</t>
        </is>
      </c>
      <c r="D135" s="18" t="inlineStr">
        <is>
          <t>Dashboard Overview</t>
        </is>
      </c>
      <c r="E135" s="5" t="inlineStr">
        <is>
          <t>Quality Check</t>
        </is>
      </c>
      <c r="F135" s="5" t="inlineStr">
        <is>
          <t>CMS direstrukturisasi 5 Sep.</t>
        </is>
      </c>
      <c r="G135" s="19" t="inlineStr">
        <is>
          <t>https://saloka.id/cms_admin/overview</t>
        </is>
      </c>
      <c r="H135" s="5" t="inlineStr">
        <is>
          <t>Admin</t>
        </is>
      </c>
      <c r="I135" s="5" t="inlineStr">
        <is>
          <t>Ringkasan performa dan grafik platform.</t>
        </is>
      </c>
      <c r="J135" s="5" t="inlineStr">
        <is>
          <t>Pengguna, produk, pesanan</t>
        </is>
      </c>
      <c r="K135" s="5" t="inlineStr">
        <is>
          <t>User, Product, Order</t>
        </is>
      </c>
      <c r="L135" s="5" t="n"/>
      <c r="M135" s="5" t="inlineStr">
        <is>
          <t>src/app/cms_admin/components/OverviewTab.tsx</t>
        </is>
      </c>
      <c r="N135" s="5" t="n"/>
      <c r="O135" s="5" t="n"/>
      <c r="P135" s="5" t="inlineStr">
        <is>
          <t>2026-09-05</t>
        </is>
      </c>
      <c r="Q135" s="5" t="inlineStr">
        <is>
          <t>2026-09-05</t>
        </is>
      </c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</row>
    <row r="136" outlineLevel="1">
      <c r="A136" s="5" t="inlineStr">
        <is>
          <t>12.c</t>
        </is>
      </c>
      <c r="B136" s="5" t="inlineStr">
        <is>
          <t>Admin CMS (Platform)</t>
        </is>
      </c>
      <c r="C136" s="5" t="inlineStr">
        <is>
          <t>Halaman Admin</t>
        </is>
      </c>
      <c r="D136" s="18" t="inlineStr">
        <is>
          <t>Kelola User</t>
        </is>
      </c>
      <c r="E136" s="5" t="inlineStr">
        <is>
          <t>Quality Check</t>
        </is>
      </c>
      <c r="F136" s="5" t="inlineStr">
        <is>
          <t>CMS direstrukturisasi 5 Sep.</t>
        </is>
      </c>
      <c r="G136" s="19" t="inlineStr">
        <is>
          <t>https://saloka.id/cms_admin/users</t>
        </is>
      </c>
      <c r="H136" s="5" t="inlineStr">
        <is>
          <t>Admin dengan izin “users”</t>
        </is>
      </c>
      <c r="I136" s="5" t="inlineStr">
        <is>
          <t>Daftar pengguna, ubah peran/level, alamat IP, nomor HP; buat/hapus pengguna.</t>
        </is>
      </c>
      <c r="J136" s="5" t="inlineStr">
        <is>
          <t>Pengguna</t>
        </is>
      </c>
      <c r="K136" s="5" t="inlineStr">
        <is>
          <t>User</t>
        </is>
      </c>
      <c r="L136" s="5" t="inlineStr">
        <is>
          <t>admin.updateUserRoleAndLevelAction, createUserAction, deleteUserAction</t>
        </is>
      </c>
      <c r="M136" s="5" t="inlineStr">
        <is>
          <t>src/app/cms_admin/components/UsersTab.tsx</t>
        </is>
      </c>
      <c r="N136" s="5" t="n"/>
      <c r="O136" s="5" t="n"/>
      <c r="P136" s="5" t="inlineStr">
        <is>
          <t>2026-09-05</t>
        </is>
      </c>
      <c r="Q136" s="5" t="inlineStr">
        <is>
          <t>2026-09-13</t>
        </is>
      </c>
      <c r="R136" s="5" t="n"/>
      <c r="S136" s="5" t="n"/>
      <c r="T136" s="5" t="n"/>
      <c r="U136" s="5" t="n"/>
      <c r="V136" s="5" t="n"/>
      <c r="W136" s="5" t="n"/>
      <c r="X136" s="5" t="inlineStr">
        <is>
          <t>Lokasi IP login tampil salah</t>
        </is>
      </c>
      <c r="Y136" s="5" t="inlineStr">
        <is>
          <t>—</t>
        </is>
      </c>
      <c r="Z136" s="5" t="inlineStr">
        <is>
          <t>Geolokasi IP diperbaiki (83fe4cb)</t>
        </is>
      </c>
      <c r="AA136" s="5" t="inlineStr">
        <is>
          <t>2026-08-29</t>
        </is>
      </c>
      <c r="AB136" s="5" t="n"/>
      <c r="AC136" s="5" t="n"/>
      <c r="AD136" s="5" t="n"/>
      <c r="AE136" s="5" t="n"/>
      <c r="AF136" s="5" t="n"/>
      <c r="AG136" s="5" t="n"/>
      <c r="AH136" s="5" t="n"/>
      <c r="AI136" s="5" t="n"/>
    </row>
    <row r="137" outlineLevel="1">
      <c r="A137" s="5" t="inlineStr">
        <is>
          <t>12.d</t>
        </is>
      </c>
      <c r="B137" s="5" t="inlineStr">
        <is>
          <t>Admin CMS (Platform)</t>
        </is>
      </c>
      <c r="C137" s="5" t="inlineStr">
        <is>
          <t>Halaman Admin</t>
        </is>
      </c>
      <c r="D137" s="18" t="inlineStr">
        <is>
          <t>Admin &amp; Hak Akses</t>
        </is>
      </c>
      <c r="E137" s="5" t="inlineStr">
        <is>
          <t>Quality Check</t>
        </is>
      </c>
      <c r="F137" s="5" t="inlineStr">
        <is>
          <t>Update Super Admin 5 Sep.</t>
        </is>
      </c>
      <c r="G137" s="19" t="inlineStr">
        <is>
          <t>https://saloka.id/cms_admin/admins</t>
        </is>
      </c>
      <c r="H137" s="5" t="inlineStr">
        <is>
          <t>Super Admin</t>
        </is>
      </c>
      <c r="I137" s="5" t="inlineStr">
        <is>
          <t>Kelola staf admin dan izin modul mereka.</t>
        </is>
      </c>
      <c r="J137" s="5" t="inlineStr">
        <is>
          <t>Akun admin &amp; izin</t>
        </is>
      </c>
      <c r="K137" s="5" t="inlineStr">
        <is>
          <t>User</t>
        </is>
      </c>
      <c r="L137" s="5" t="inlineStr">
        <is>
          <t>admin.getAdminsAction, createAdminAction, updateAdminAction, deleteAdminAction, updateAdminPermissionsAction</t>
        </is>
      </c>
      <c r="M137" s="5" t="inlineStr">
        <is>
          <t>src/app/cms_admin/components/AdminsTab.tsx</t>
        </is>
      </c>
      <c r="N137" s="5" t="n"/>
      <c r="O137" s="5" t="n"/>
      <c r="P137" s="5" t="inlineStr">
        <is>
          <t>2026-09-05</t>
        </is>
      </c>
      <c r="Q137" s="5" t="inlineStr">
        <is>
          <t>2026-09-13</t>
        </is>
      </c>
      <c r="R137" s="5" t="n"/>
      <c r="S137" s="5" t="n"/>
      <c r="T137" s="5" t="inlineStr">
        <is>
          <t>Super Admin kehilangan izin dan menu sidebar</t>
        </is>
      </c>
      <c r="U137" s="5" t="inlineStr">
        <is>
          <t>—</t>
        </is>
      </c>
      <c r="V137" s="5" t="inlineStr">
        <is>
          <t>Izin penuh &amp; sidebar untuk Super Admin (4bddf89, d9426e9, 90ba5b8)</t>
        </is>
      </c>
      <c r="W137" s="5" t="inlineStr">
        <is>
          <t>2026-08-15</t>
        </is>
      </c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</row>
    <row r="138" outlineLevel="1">
      <c r="A138" s="5" t="inlineStr">
        <is>
          <t>12.e</t>
        </is>
      </c>
      <c r="B138" s="5" t="inlineStr">
        <is>
          <t>Admin CMS (Platform)</t>
        </is>
      </c>
      <c r="C138" s="5" t="inlineStr">
        <is>
          <t>Halaman Admin</t>
        </is>
      </c>
      <c r="D138" s="18" t="inlineStr">
        <is>
          <t>Konten &amp; Promosi</t>
        </is>
      </c>
      <c r="E138" s="5" t="inlineStr">
        <is>
          <t>Quality Check</t>
        </is>
      </c>
      <c r="F138" s="5" t="inlineStr">
        <is>
          <t>CMS direstrukturisasi 5 Sep.</t>
        </is>
      </c>
      <c r="G138" s="19" t="inlineStr">
        <is>
          <t>https://saloka.id/cms_admin/content/banner</t>
        </is>
      </c>
      <c r="H138" s="5" t="inlineStr">
        <is>
          <t>Admin dengan izin “content”</t>
        </is>
      </c>
      <c r="I138" s="5" t="inlineStr">
        <is>
          <t>Carousel banner halaman utama (Banner Landing) dan pengumuman platform (Pengumuman).</t>
        </is>
      </c>
      <c r="J138" s="5" t="inlineStr">
        <is>
          <t>Banner, pengumuman</t>
        </is>
      </c>
      <c r="K138" s="5" t="inlineStr">
        <is>
          <t>LandingBanner, Announcement</t>
        </is>
      </c>
      <c r="L138" s="5" t="inlineStr">
        <is>
          <t>landing.*; announcements.*</t>
        </is>
      </c>
      <c r="M138" s="5" t="inlineStr">
        <is>
          <t>src/app/cms_admin/components/ContentBannerTab.tsx; src/app/cms_admin/components/AnnouncementsTab.tsx</t>
        </is>
      </c>
      <c r="N138" s="5" t="n"/>
      <c r="O138" s="5" t="n"/>
      <c r="P138" s="5" t="inlineStr">
        <is>
          <t>2026-09-05</t>
        </is>
      </c>
      <c r="Q138" s="5" t="inlineStr">
        <is>
          <t>2026-09-05</t>
        </is>
      </c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</row>
    <row r="139" outlineLevel="1">
      <c r="A139" s="5" t="inlineStr">
        <is>
          <t>12.f</t>
        </is>
      </c>
      <c r="B139" s="5" t="inlineStr">
        <is>
          <t>Admin CMS (Platform)</t>
        </is>
      </c>
      <c r="C139" s="5" t="inlineStr">
        <is>
          <t>Halaman Admin</t>
        </is>
      </c>
      <c r="D139" s="18" t="inlineStr">
        <is>
          <t>Audit Log</t>
        </is>
      </c>
      <c r="E139" s="5" t="inlineStr">
        <is>
          <t>Quality Check</t>
        </is>
      </c>
      <c r="F139" s="5" t="inlineStr">
        <is>
          <t>Dibangun ulang 9 Sep (kontrol ISO 27001).</t>
        </is>
      </c>
      <c r="G139" s="19" t="inlineStr">
        <is>
          <t>https://saloka.id/cms_admin/audit/semua</t>
        </is>
      </c>
      <c r="H139" s="5" t="inlineStr">
        <is>
          <t>Admin dengan izin “audit”</t>
        </is>
      </c>
      <c r="I139" s="5" t="inlineStr">
        <is>
          <t>Catatan aktivitas admin dan anggota (tab: Semua, Member, Admin); log lama dihapus setiap hari.</t>
        </is>
      </c>
      <c r="J139" s="5" t="inlineStr">
        <is>
          <t>Entri audit</t>
        </is>
      </c>
      <c r="K139" s="5" t="inlineStr">
        <is>
          <t>AuditLog</t>
        </is>
      </c>
      <c r="L139" s="5" t="inlineStr">
        <is>
          <t>audit.getAuditLogsAction; /api/cron/purge-audit-logs (harian)</t>
        </is>
      </c>
      <c r="M139" s="5" t="inlineStr">
        <is>
          <t>src/app/cms_admin/components/AuditLogTab.tsx; src/lib/audit-log.ts</t>
        </is>
      </c>
      <c r="N139" s="5" t="inlineStr">
        <is>
          <t>Jalur paralel: ISO 27001</t>
        </is>
      </c>
      <c r="O139" s="5" t="n"/>
      <c r="P139" s="5" t="inlineStr">
        <is>
          <t>2026-09-05</t>
        </is>
      </c>
      <c r="Q139" s="5" t="inlineStr">
        <is>
          <t>2026-09-09</t>
        </is>
      </c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</row>
    <row r="140">
      <c r="A140" s="17" t="inlineStr">
        <is>
          <t>13</t>
        </is>
      </c>
      <c r="B140" s="17" t="inlineStr">
        <is>
          <t>Halaman Legal</t>
        </is>
      </c>
      <c r="C140" s="17" t="inlineStr">
        <is>
          <t>Fitur</t>
        </is>
      </c>
      <c r="D140" s="17" t="inlineStr">
        <is>
          <t>Halaman Legal</t>
        </is>
      </c>
      <c r="E140" s="17" t="inlineStr">
        <is>
          <t>Quality Check</t>
        </is>
      </c>
      <c r="F140" s="17" t="inlineStr">
        <is>
          <t>Teks masih menyebut Midtrans sebagai payment gateway.</t>
        </is>
      </c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</row>
    <row r="141" outlineLevel="1">
      <c r="A141" s="5" t="inlineStr">
        <is>
          <t>13.a</t>
        </is>
      </c>
      <c r="B141" s="5" t="inlineStr">
        <is>
          <t>Halaman Legal</t>
        </is>
      </c>
      <c r="C141" s="5" t="inlineStr">
        <is>
          <t>Halaman</t>
        </is>
      </c>
      <c r="D141" s="18" t="inlineStr">
        <is>
          <t>Kebijakan Privasi</t>
        </is>
      </c>
      <c r="E141" s="5" t="inlineStr">
        <is>
          <t>Quality Check</t>
        </is>
      </c>
      <c r="F141" s="5" t="inlineStr">
        <is>
          <t>Teks perlu diperbarui untuk DOKU.</t>
        </is>
      </c>
      <c r="G141" s="19" t="inlineStr">
        <is>
          <t>https://saloka.id/privacy</t>
        </is>
      </c>
      <c r="H141" s="5" t="inlineStr">
        <is>
          <t>Semua orang</t>
        </is>
      </c>
      <c r="I141" s="5" t="inlineStr">
        <is>
          <t>Kebijakan privasi.</t>
        </is>
      </c>
      <c r="J141" s="5" t="n"/>
      <c r="K141" s="5" t="n"/>
      <c r="L141" s="5" t="n"/>
      <c r="M141" s="5" t="inlineStr">
        <is>
          <t>src/app/privacy/page.tsx</t>
        </is>
      </c>
      <c r="N141" s="5" t="n"/>
      <c r="O141" s="5" t="inlineStr">
        <is>
          <t>Menyebut Midtrans sebagai payment gateway; seharusnya DOKU (dan Biteship untuk data pengiriman).</t>
        </is>
      </c>
      <c r="P141" s="5" t="inlineStr">
        <is>
          <t>2026-05-30</t>
        </is>
      </c>
      <c r="Q141" s="5" t="inlineStr">
        <is>
          <t>2026-06-13</t>
        </is>
      </c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</row>
    <row r="142" outlineLevel="1">
      <c r="A142" s="5" t="inlineStr">
        <is>
          <t>13.b</t>
        </is>
      </c>
      <c r="B142" s="5" t="inlineStr">
        <is>
          <t>Halaman Legal</t>
        </is>
      </c>
      <c r="C142" s="5" t="inlineStr">
        <is>
          <t>Halaman</t>
        </is>
      </c>
      <c r="D142" s="18" t="inlineStr">
        <is>
          <t>Syarat &amp; Ketentuan</t>
        </is>
      </c>
      <c r="E142" s="5" t="inlineStr">
        <is>
          <t>Quality Check</t>
        </is>
      </c>
      <c r="F142" s="5" t="inlineStr">
        <is>
          <t>Teks perlu diperbarui untuk DOKU.</t>
        </is>
      </c>
      <c r="G142" s="19" t="inlineStr">
        <is>
          <t>https://saloka.id/terms</t>
        </is>
      </c>
      <c r="H142" s="5" t="inlineStr">
        <is>
          <t>Semua orang</t>
        </is>
      </c>
      <c r="I142" s="5" t="inlineStr">
        <is>
          <t>Syarat layanan.</t>
        </is>
      </c>
      <c r="J142" s="5" t="n"/>
      <c r="K142" s="5" t="n"/>
      <c r="L142" s="5" t="n"/>
      <c r="M142" s="5" t="inlineStr">
        <is>
          <t>src/app/terms/page.tsx</t>
        </is>
      </c>
      <c r="N142" s="5" t="n"/>
      <c r="O142" s="5" t="inlineStr">
        <is>
          <t>Menyebut Midtrans sebagai payment gateway; seharusnya DOKU.</t>
        </is>
      </c>
      <c r="P142" s="5" t="inlineStr">
        <is>
          <t>2026-05-30</t>
        </is>
      </c>
      <c r="Q142" s="5" t="inlineStr">
        <is>
          <t>2026-06-13</t>
        </is>
      </c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</row>
  </sheetData>
  <autoFilter ref="A2:AI142"/>
  <mergeCells count="7">
    <mergeCell ref="G1:O1"/>
    <mergeCell ref="A1:F1"/>
    <mergeCell ref="X1:AA1"/>
    <mergeCell ref="AB1:AE1"/>
    <mergeCell ref="AF1:AI1"/>
    <mergeCell ref="P1:S1"/>
    <mergeCell ref="T1:W1"/>
  </mergeCells>
  <conditionalFormatting sqref="E3:E342">
    <cfRule type="expression" priority="1" dxfId="0">
      <formula>$E3="Selesai"</formula>
    </cfRule>
    <cfRule type="expression" priority="2" dxfId="1">
      <formula>$E3="Quality Check"</formula>
    </cfRule>
    <cfRule type="expression" priority="3" dxfId="2">
      <formula>$E3="Sedang Berjalan"</formula>
    </cfRule>
    <cfRule type="expression" priority="4" dxfId="3">
      <formula>$E3="Belum Dimulai"</formula>
    </cfRule>
  </conditionalFormatting>
  <dataValidations count="1">
    <dataValidation sqref="E3:E342" showDropDown="0" showInputMessage="0" showErrorMessage="0" allowBlank="1" type="list">
      <formula1>"Belum Dimulai,Sedang Berjalan,Quality Check,Selesai"</formula1>
    </dataValidation>
  </dataValidations>
  <hyperlinks>
    <hyperlink xmlns:r="http://schemas.openxmlformats.org/officeDocument/2006/relationships" ref="G4" r:id="rId1"/>
    <hyperlink xmlns:r="http://schemas.openxmlformats.org/officeDocument/2006/relationships" ref="G8" r:id="rId2"/>
    <hyperlink xmlns:r="http://schemas.openxmlformats.org/officeDocument/2006/relationships" ref="G9" r:id="rId3"/>
    <hyperlink xmlns:r="http://schemas.openxmlformats.org/officeDocument/2006/relationships" ref="G10" r:id="rId4"/>
    <hyperlink xmlns:r="http://schemas.openxmlformats.org/officeDocument/2006/relationships" ref="G11" r:id="rId5"/>
    <hyperlink xmlns:r="http://schemas.openxmlformats.org/officeDocument/2006/relationships" ref="G12" r:id="rId6"/>
    <hyperlink xmlns:r="http://schemas.openxmlformats.org/officeDocument/2006/relationships" ref="G13" r:id="rId7"/>
    <hyperlink xmlns:r="http://schemas.openxmlformats.org/officeDocument/2006/relationships" ref="G14" r:id="rId8"/>
    <hyperlink xmlns:r="http://schemas.openxmlformats.org/officeDocument/2006/relationships" ref="G15" r:id="rId9"/>
    <hyperlink xmlns:r="http://schemas.openxmlformats.org/officeDocument/2006/relationships" ref="G16" r:id="rId10"/>
    <hyperlink xmlns:r="http://schemas.openxmlformats.org/officeDocument/2006/relationships" ref="G17" r:id="rId11"/>
    <hyperlink xmlns:r="http://schemas.openxmlformats.org/officeDocument/2006/relationships" ref="G18" r:id="rId12"/>
    <hyperlink xmlns:r="http://schemas.openxmlformats.org/officeDocument/2006/relationships" ref="G19" r:id="rId13"/>
    <hyperlink xmlns:r="http://schemas.openxmlformats.org/officeDocument/2006/relationships" ref="G20" r:id="rId14"/>
    <hyperlink xmlns:r="http://schemas.openxmlformats.org/officeDocument/2006/relationships" ref="G22" r:id="rId15"/>
    <hyperlink xmlns:r="http://schemas.openxmlformats.org/officeDocument/2006/relationships" ref="G25" r:id="rId16"/>
    <hyperlink xmlns:r="http://schemas.openxmlformats.org/officeDocument/2006/relationships" ref="G27" r:id="rId17"/>
    <hyperlink xmlns:r="http://schemas.openxmlformats.org/officeDocument/2006/relationships" ref="G28" r:id="rId18"/>
    <hyperlink xmlns:r="http://schemas.openxmlformats.org/officeDocument/2006/relationships" ref="G31" r:id="rId19"/>
    <hyperlink xmlns:r="http://schemas.openxmlformats.org/officeDocument/2006/relationships" ref="G33" r:id="rId20"/>
    <hyperlink xmlns:r="http://schemas.openxmlformats.org/officeDocument/2006/relationships" ref="G35" r:id="rId21"/>
    <hyperlink xmlns:r="http://schemas.openxmlformats.org/officeDocument/2006/relationships" ref="G36" r:id="rId22"/>
    <hyperlink xmlns:r="http://schemas.openxmlformats.org/officeDocument/2006/relationships" ref="G37" r:id="rId23"/>
    <hyperlink xmlns:r="http://schemas.openxmlformats.org/officeDocument/2006/relationships" ref="G38" r:id="rId24"/>
    <hyperlink xmlns:r="http://schemas.openxmlformats.org/officeDocument/2006/relationships" ref="G40" r:id="rId25"/>
    <hyperlink xmlns:r="http://schemas.openxmlformats.org/officeDocument/2006/relationships" ref="G41" r:id="rId26"/>
    <hyperlink xmlns:r="http://schemas.openxmlformats.org/officeDocument/2006/relationships" ref="G42" r:id="rId27"/>
    <hyperlink xmlns:r="http://schemas.openxmlformats.org/officeDocument/2006/relationships" ref="G43" r:id="rId28"/>
    <hyperlink xmlns:r="http://schemas.openxmlformats.org/officeDocument/2006/relationships" ref="G44" r:id="rId29"/>
    <hyperlink xmlns:r="http://schemas.openxmlformats.org/officeDocument/2006/relationships" ref="G45" r:id="rId30"/>
    <hyperlink xmlns:r="http://schemas.openxmlformats.org/officeDocument/2006/relationships" ref="G46" r:id="rId31"/>
    <hyperlink xmlns:r="http://schemas.openxmlformats.org/officeDocument/2006/relationships" ref="G47" r:id="rId32"/>
    <hyperlink xmlns:r="http://schemas.openxmlformats.org/officeDocument/2006/relationships" ref="G49" r:id="rId33"/>
    <hyperlink xmlns:r="http://schemas.openxmlformats.org/officeDocument/2006/relationships" ref="G80" r:id="rId34"/>
    <hyperlink xmlns:r="http://schemas.openxmlformats.org/officeDocument/2006/relationships" ref="G81" r:id="rId35"/>
    <hyperlink xmlns:r="http://schemas.openxmlformats.org/officeDocument/2006/relationships" ref="G82" r:id="rId36"/>
    <hyperlink xmlns:r="http://schemas.openxmlformats.org/officeDocument/2006/relationships" ref="G83" r:id="rId37"/>
    <hyperlink xmlns:r="http://schemas.openxmlformats.org/officeDocument/2006/relationships" ref="G84" r:id="rId38"/>
    <hyperlink xmlns:r="http://schemas.openxmlformats.org/officeDocument/2006/relationships" ref="G85" r:id="rId39"/>
    <hyperlink xmlns:r="http://schemas.openxmlformats.org/officeDocument/2006/relationships" ref="G87" r:id="rId40"/>
    <hyperlink xmlns:r="http://schemas.openxmlformats.org/officeDocument/2006/relationships" ref="G88" r:id="rId41"/>
    <hyperlink xmlns:r="http://schemas.openxmlformats.org/officeDocument/2006/relationships" ref="G89" r:id="rId42"/>
    <hyperlink xmlns:r="http://schemas.openxmlformats.org/officeDocument/2006/relationships" ref="G92" r:id="rId43"/>
    <hyperlink xmlns:r="http://schemas.openxmlformats.org/officeDocument/2006/relationships" ref="G93" r:id="rId44"/>
    <hyperlink xmlns:r="http://schemas.openxmlformats.org/officeDocument/2006/relationships" ref="G94" r:id="rId45"/>
    <hyperlink xmlns:r="http://schemas.openxmlformats.org/officeDocument/2006/relationships" ref="G95" r:id="rId46"/>
    <hyperlink xmlns:r="http://schemas.openxmlformats.org/officeDocument/2006/relationships" ref="G96" r:id="rId47"/>
    <hyperlink xmlns:r="http://schemas.openxmlformats.org/officeDocument/2006/relationships" ref="G97" r:id="rId48"/>
    <hyperlink xmlns:r="http://schemas.openxmlformats.org/officeDocument/2006/relationships" ref="G98" r:id="rId49"/>
    <hyperlink xmlns:r="http://schemas.openxmlformats.org/officeDocument/2006/relationships" ref="G99" r:id="rId50"/>
    <hyperlink xmlns:r="http://schemas.openxmlformats.org/officeDocument/2006/relationships" ref="G101" r:id="rId51"/>
    <hyperlink xmlns:r="http://schemas.openxmlformats.org/officeDocument/2006/relationships" ref="G102" r:id="rId52"/>
    <hyperlink xmlns:r="http://schemas.openxmlformats.org/officeDocument/2006/relationships" ref="G103" r:id="rId53"/>
    <hyperlink xmlns:r="http://schemas.openxmlformats.org/officeDocument/2006/relationships" ref="G104" r:id="rId54"/>
    <hyperlink xmlns:r="http://schemas.openxmlformats.org/officeDocument/2006/relationships" ref="G105" r:id="rId55"/>
    <hyperlink xmlns:r="http://schemas.openxmlformats.org/officeDocument/2006/relationships" ref="G106" r:id="rId56"/>
    <hyperlink xmlns:r="http://schemas.openxmlformats.org/officeDocument/2006/relationships" ref="G107" r:id="rId57"/>
    <hyperlink xmlns:r="http://schemas.openxmlformats.org/officeDocument/2006/relationships" ref="G108" r:id="rId58"/>
    <hyperlink xmlns:r="http://schemas.openxmlformats.org/officeDocument/2006/relationships" ref="G109" r:id="rId59"/>
    <hyperlink xmlns:r="http://schemas.openxmlformats.org/officeDocument/2006/relationships" ref="G110" r:id="rId60"/>
    <hyperlink xmlns:r="http://schemas.openxmlformats.org/officeDocument/2006/relationships" ref="G111" r:id="rId61"/>
    <hyperlink xmlns:r="http://schemas.openxmlformats.org/officeDocument/2006/relationships" ref="G112" r:id="rId62"/>
    <hyperlink xmlns:r="http://schemas.openxmlformats.org/officeDocument/2006/relationships" ref="G117" r:id="rId63"/>
    <hyperlink xmlns:r="http://schemas.openxmlformats.org/officeDocument/2006/relationships" ref="G119" r:id="rId64"/>
    <hyperlink xmlns:r="http://schemas.openxmlformats.org/officeDocument/2006/relationships" ref="G120" r:id="rId65"/>
    <hyperlink xmlns:r="http://schemas.openxmlformats.org/officeDocument/2006/relationships" ref="G122" r:id="rId66"/>
    <hyperlink xmlns:r="http://schemas.openxmlformats.org/officeDocument/2006/relationships" ref="G125" r:id="rId67"/>
    <hyperlink xmlns:r="http://schemas.openxmlformats.org/officeDocument/2006/relationships" ref="G126" r:id="rId68"/>
    <hyperlink xmlns:r="http://schemas.openxmlformats.org/officeDocument/2006/relationships" ref="G127" r:id="rId69"/>
    <hyperlink xmlns:r="http://schemas.openxmlformats.org/officeDocument/2006/relationships" ref="G129" r:id="rId70"/>
    <hyperlink xmlns:r="http://schemas.openxmlformats.org/officeDocument/2006/relationships" ref="G131" r:id="rId71"/>
    <hyperlink xmlns:r="http://schemas.openxmlformats.org/officeDocument/2006/relationships" ref="G132" r:id="rId72"/>
    <hyperlink xmlns:r="http://schemas.openxmlformats.org/officeDocument/2006/relationships" ref="G134" r:id="rId73"/>
    <hyperlink xmlns:r="http://schemas.openxmlformats.org/officeDocument/2006/relationships" ref="G135" r:id="rId74"/>
    <hyperlink xmlns:r="http://schemas.openxmlformats.org/officeDocument/2006/relationships" ref="G136" r:id="rId75"/>
    <hyperlink xmlns:r="http://schemas.openxmlformats.org/officeDocument/2006/relationships" ref="G137" r:id="rId76"/>
    <hyperlink xmlns:r="http://schemas.openxmlformats.org/officeDocument/2006/relationships" ref="G138" r:id="rId77"/>
    <hyperlink xmlns:r="http://schemas.openxmlformats.org/officeDocument/2006/relationships" ref="G139" r:id="rId78"/>
    <hyperlink xmlns:r="http://schemas.openxmlformats.org/officeDocument/2006/relationships" ref="G141" r:id="rId79"/>
    <hyperlink xmlns:r="http://schemas.openxmlformats.org/officeDocument/2006/relationships" ref="G142" r:id="rId8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2" t="inlineStr">
        <is>
          <t>Cara membaca workbook ini</t>
        </is>
      </c>
    </row>
    <row r="2">
      <c r="A2" s="23" t="inlineStr">
        <is>
          <t>Satu baris untuk setiap fitur (hijau), halaman, tab, layar admin (CMS), alur di balik layar, atau komponen di seluruh situs saloka.id. Disusun dari repository kode pada 13 Sep 2026.</t>
        </is>
      </c>
    </row>
    <row r="3">
      <c r="A3" s="23" t="inlineStr">
        <is>
          <t>Gunakan filter di baris 2 sheet “Pelacak Fitur” (misalnya filter Fitur atau Status), atau tombol +/− di sisi kiri untuk menutup/membuka halaman dan tab.</t>
        </is>
      </c>
    </row>
    <row r="4">
      <c r="A4" s="22" t="inlineStr">
        <is>
          <t>Status (dropdown di kolom E)</t>
        </is>
      </c>
    </row>
    <row r="5">
      <c r="A5" s="23" t="inlineStr">
        <is>
          <t>Selesai — dibangun dengan data asli, tidak ditemukan kekurangan di kode, tidak ada perbaikan dalam 2 minggu terakhir.</t>
        </is>
      </c>
    </row>
    <row r="6">
      <c r="A6" s="23" t="inlineStr">
        <is>
          <t>Quality Check — dibangun dengan data asli, tetapi baru diubah/diperbaiki atau masih menunggu persetujuan QA.</t>
        </is>
      </c>
    </row>
    <row r="7">
      <c r="A7" s="23" t="inlineStr">
        <is>
          <t>Sedang Berjalan — baru sebagian dibangun, memakai data mock/contoh, atau masih ada bagian yang kurang.</t>
        </is>
      </c>
    </row>
    <row r="8">
      <c r="A8" s="23" t="inlineStr">
        <is>
          <t>Belum Dimulai — hanya ada layar placeholder (misalnya “Segera Hadir”).</t>
        </is>
      </c>
    </row>
    <row r="9">
      <c r="A9" s="24" t="inlineStr">
        <is>
          <t>Status disimpulkan dari kode, riwayat commit, roadmap September 2026, dan catatan progres mingguan — bukan dari pengujian langsung di situs. Mohon ditinjau, dengan melihat kolom “Alasan status”.</t>
        </is>
      </c>
    </row>
    <row r="10">
      <c r="A10" s="22" t="inlineStr">
        <is>
          <t>Level</t>
        </is>
      </c>
    </row>
    <row r="11">
      <c r="A11" s="23" t="inlineStr">
        <is>
          <t>Fitur → Halaman / Halaman Admin / Alur / Komponen → Tab / Tab Admin. Alur = proses di balik layar tanpa halaman sendiri (misalnya pembayaran DOKU). Komponen = elemen yang tampil di seluruh situs (misalnya kolom pencarian).</t>
        </is>
      </c>
    </row>
    <row r="12">
      <c r="A12" s="23" t="inlineStr">
        <is>
          <t>Baris Komunitas menyebutkan tipe komunitas (Perkumpulan atau Koperasi) serta tier atau template yang berlaku di kolom “Siapa yang bisa akses”.</t>
        </is>
      </c>
    </row>
    <row r="13">
      <c r="A13" s="22" t="inlineStr">
        <is>
          <t>Link</t>
        </is>
      </c>
    </row>
    <row r="14">
      <c r="A14" s="23" t="inlineStr">
        <is>
          <t>Link yang mengandung [kurung siku] perlu diisi ID asli, misalnya ganti [community-id] dengan id komunitas yang sebenarnya. Hanya link tanpa kurung siku yang bisa diklik.</t>
        </is>
      </c>
    </row>
    <row r="15">
      <c r="A15" s="22" t="inlineStr">
        <is>
          <t>Iterasi (bug ditemukan → perbaikan)</t>
        </is>
      </c>
    </row>
    <row r="16">
      <c r="A16" s="23" t="inlineStr">
        <is>
          <t>Iterasi 1 — s.d. 22 Agu 2026 (hanya perbaikan besar) · Iterasi 2 — 23–31 Agu · Iterasi 3 — 1–6 Sep (Minggu A) · Iterasi 4 — 7–13 Sep (Minggu B).</t>
        </is>
      </c>
    </row>
    <row r="17">
      <c r="A17" s="23" t="inlineStr">
        <is>
          <t>Beberapa bug dalam satu sel diberi nomor; nomor yang sama di kolom Bug ditemukan / Tanggal ditemukan / Perbaikan / Tanggal perbaikan merujuk ke bug yang sama. Kode singkat dalam kurung adalah ID commit untuk developer.</t>
        </is>
      </c>
    </row>
    <row r="18">
      <c r="A18" s="23" t="inlineStr">
        <is>
          <t>“—” di Tanggal ditemukan = tidak tercatat (riwayat hanya mencatat kapan perbaikan dibuat). “Sedang dikerjakan (belum di-commit)” = perbaikan sudah ada tetapi belum disimpan ke repository.</t>
        </is>
      </c>
    </row>
    <row r="19">
      <c r="A19" s="23" t="inlineStr">
        <is>
          <t>Perbaikan kecil seperti error build, salah ketik, dan penyesuaian desain murni tidak dicantumkan.</t>
        </is>
      </c>
    </row>
    <row r="20">
      <c r="A20" s="23" t="inlineStr">
        <is>
          <t>Untuk memulai Iterasi 5: salin 4 kolom iterasi terakhir ke kanan, ganti judulnya, lalu mulai sekarang catat tanggal ditemukan dan tanggal perbaikan.</t>
        </is>
      </c>
    </row>
    <row r="21">
      <c r="A21" s="22" t="inlineStr">
        <is>
          <t>Kolom lainnya</t>
        </is>
      </c>
    </row>
    <row r="22">
      <c r="A22" s="23" t="inlineStr">
        <is>
          <t>PIC dan Target tanggal sengaja dikosongkan untuk diisi PM. Kolom Tabel database, Server action &amp; API endpoint, dan File kode utama ditujukan untuk developer dan bisa disembunyikan untuk tampilan eksekutif.</t>
        </is>
      </c>
    </row>
    <row r="23">
      <c r="A23" s="23" t="inlineStr">
        <is>
          <t>“Phase 6” merujuk pada pekerjaan komunitas yang ditunda (pencairan pinjaman, transfer SHU ke wallet, penagihan tier, dll.) yang tercantum di PHASE6_TODO.md.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2026-09-14T00:05:03Z</dcterms:created>
  <dcterms:modified xmlns:dcterms="http://purl.org/dc/terms/" xmlns:xsi="http://www.w3.org/2001/XMLSchema-instance" xsi:type="dcterms:W3CDTF">2026-09-30T09:53:02Z</dcterms:modified>
</cp:coreProperties>
</file>